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bric" sheetId="1" state="visible" r:id="rId3"/>
    <sheet name="Inventory" sheetId="2" state="visible" r:id="rId4"/>
    <sheet name="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<sst xmlns="http://schemas.openxmlformats.org/spreadsheetml/2006/main" count="594" uniqueCount="338">
  <si>
    <t xml:space="preserve">SCORING RUBRIC</t>
  </si>
  <si>
    <t xml:space="preserve">#</t>
  </si>
  <si>
    <t xml:space="preserve">Dimension</t>
  </si>
  <si>
    <t xml:space="preserve">Weight</t>
  </si>
  <si>
    <t xml:space="preserve">What a score of 5 looks like</t>
  </si>
  <si>
    <t xml:space="preserve">Founder-market fit / unfair advantage</t>
  </si>
  <si>
    <t xml:space="preserve">You have access, insight, or skill almost no other founder has here.</t>
  </si>
  <si>
    <t xml:space="preserve">Why-now</t>
  </si>
  <si>
    <t xml:space="preserve">A specific recent catalyst makes this THE moment; couldn't have been built well 3 yrs ago.</t>
  </si>
  <si>
    <t xml:space="preserve">Problem intensity</t>
  </si>
  <si>
    <t xml:space="preserve">Painkiller, not vitamin — people already spend to solve it badly today.</t>
  </si>
  <si>
    <t xml:space="preserve">Willingness &amp; ability to pay</t>
  </si>
  <si>
    <t xml:space="preserve">A clear budget exists and you can name who owns it.</t>
  </si>
  <si>
    <t xml:space="preserve">Market size &amp; headroom</t>
  </si>
  <si>
    <t xml:space="preserve">Enough room/growth to build a business worth your full-time commitment — exit OR durable cash flow.</t>
  </si>
  <si>
    <t xml:space="preserve">Defensibility / moat potential</t>
  </si>
  <si>
    <t xml:space="preserve">A real reason the next entrant or an incumbent can't just copy you.</t>
  </si>
  <si>
    <t xml:space="preserve">Competitive whitespace</t>
  </si>
  <si>
    <t xml:space="preserve">Underserved; incumbents have a structural blind spot.</t>
  </si>
  <si>
    <t xml:space="preserve">Speed to first paying customer</t>
  </si>
  <si>
    <t xml:space="preserve">A signed customer in weeks-to-months, not years.</t>
  </si>
  <si>
    <t xml:space="preserve">Total</t>
  </si>
  <si>
    <t xml:space="preserve">Scoring: rate each dimension 1–5. Weighted score = SUMPRODUCT(scores, weights)/5, normalized to /100. Graduate ≥70.</t>
  </si>
  <si>
    <t xml:space="preserve">Kill gates (any one true → park or kill before scoring): no why-now · no founder edge · no one with budget feels it · needs capital/licenses you can't get · market too thin for a real business.</t>
  </si>
  <si>
    <t xml:space="preserve">PROBLEM INVENTORY (raw pool from MAP mode)</t>
  </si>
  <si>
    <t xml:space="preserve">Every problem harvested in MAP mode lands here, unfiltered. EVALUATE mode pulls batches from this pool; survivors that get scored move to the Tracker tab.</t>
  </si>
  <si>
    <t xml:space="preserve">ID</t>
  </si>
  <si>
    <t xml:space="preserve">Industry/Vertical</t>
  </si>
  <si>
    <t xml:space="preserve">Geography</t>
  </si>
  <si>
    <t xml:space="preserve">Step / Segment</t>
  </si>
  <si>
    <t xml:space="preserve">Sufferer</t>
  </si>
  <si>
    <t xml:space="preserve">What breaks (the task that fails)</t>
  </si>
  <si>
    <t xml:space="preserve">What it costs</t>
  </si>
  <si>
    <t xml:space="preserve">Status</t>
  </si>
  <si>
    <t xml:space="preserve">S1-IN-01</t>
  </si>
  <si>
    <t xml:space="preserve">F&amp;B / CPG</t>
  </si>
  <si>
    <t xml:space="preserve">India</t>
  </si>
  <si>
    <t xml:space="preserve">1 · Inputs &amp; sourcing</t>
  </si>
  <si>
    <t xml:space="preserve">Procurement teams at processors / branded FMCG</t>
  </si>
  <si>
    <t xml:space="preserve">Assembling consistent, large volumes of uniform-quality produce from fragmented smallholders fails — high transaction costs, quality control breaks down</t>
  </si>
  <si>
    <t xml:space="preserve">Factory-gate rejections, intermediary premiums, chronic under-capacity of plants vs demand</t>
  </si>
  <si>
    <t xml:space="preserve">Raw</t>
  </si>
  <si>
    <t xml:space="preserve">S1-IN-02</t>
  </si>
  <si>
    <t xml:space="preserve">Processors of seasonal crops</t>
  </si>
  <si>
    <t xml:space="preserve">Matching harvest-window raw-material supply to year-round processing capacity fails — reject supply or hold produce without adequate facilities</t>
  </si>
  <si>
    <t xml:space="preserve">Lean-season input premiums, working capital locked in buy-and-store, off-season utilization collapse</t>
  </si>
  <si>
    <t xml:space="preserve">S1-IN-03</t>
  </si>
  <si>
    <t xml:space="preserve">Farmers, FPOs, aggregators moving perishables</t>
  </si>
  <si>
    <t xml:space="preserve">Getting produce through sorting, packing and first transport before spoilage fails — ~33% of agri production lost post-harvest (~49.9M MT/yr horticulture)</t>
  </si>
  <si>
    <t xml:space="preserve">Farmer realization 10–23% of consumer price (vs 64–81% US/EU); ~Rs 90,000 crore of food lost annually</t>
  </si>
  <si>
    <t xml:space="preserve">S1-IN-04</t>
  </si>
  <si>
    <t xml:space="preserve">Buyers at farmgate (processor agents, FPOs, mandi purchasers)</t>
  </si>
  <si>
    <t xml:space="preserve">Objectively grading quality at point of purchase fails — assessment is visual, manual, disputed</t>
  </si>
  <si>
    <t xml:space="preserve">Pricing disputes, adulteration leakage, downstream factory-gate rejections</t>
  </si>
  <si>
    <t xml:space="preserve">S1-IN-05</t>
  </si>
  <si>
    <t xml:space="preserve">Exporters and branded processors needing farm-level traceability</t>
  </si>
  <si>
    <t xml:space="preserve">Documenting origin through farmer → agent → wholesaler chain fails — the auction system structurally strips provenance</t>
  </si>
  <si>
    <t xml:space="preserve">Rejected export consignments, forfeited certified-produce premiums, audit scramble</t>
  </si>
  <si>
    <t xml:space="preserve">S1-IN-06</t>
  </si>
  <si>
    <t xml:space="preserve">FPOs and cooperatives</t>
  </si>
  <si>
    <t xml:space="preserve">Recurring GST/ITC compliance and formal accounting fails — limited accounting capacity; 18% GST on warehousing/cold chain raises infra cost</t>
  </si>
  <si>
    <t xml:space="preserve">Structural cost disadvantage vs integrated agribusiness; suppressed FPO viability</t>
  </si>
  <si>
    <t xml:space="preserve">S2-IN-01</t>
  </si>
  <si>
    <t xml:space="preserve">2 · Processing &amp; mfg</t>
  </si>
  <si>
    <t xml:space="preserve">Contract manufacturers with idle capacity + brands hunting vetted capacity</t>
  </si>
  <si>
    <t xml:space="preserve">Matching spare qualified capacity to demand fails — discovery runs on brokers and word-of-mouth across a fragmented MSME landscape</t>
  </si>
  <si>
    <t xml:space="preserve">Idle fixed cost for CMs; months-long search, MOQ mismatch, duplicated audits for brands</t>
  </si>
  <si>
    <t xml:space="preserve">S2-IN-02</t>
  </si>
  <si>
    <t xml:space="preserve">MSME food processors and contract manufacturers</t>
  </si>
  <si>
    <t xml:space="preserve">Clearing FSSAI/BIS/buyer audits fails — required quality, certification, traceability investment exceeds small-unit capacity (769+ BIS QCO products; FSSAI surge)</t>
  </si>
  <si>
    <t xml:space="preserve">Penalties (Rs 155 cr FY25-26 industry-wide), lost brand contracts, remediation spend, export exclusion</t>
  </si>
  <si>
    <t xml:space="preserve">S2-IN-03</t>
  </si>
  <si>
    <t xml:space="preserve">Plant operations teams (branded + contract plants)</t>
  </si>
  <si>
    <t xml:space="preserve">Scheduling proliferating SKUs (q-commerce packs, regional variants) without destroying OEE fails as run lengths shrink</t>
  </si>
  <si>
    <t xml:space="preserve">Changeover downtime, startup waste, missed fill rates</t>
  </si>
  <si>
    <t xml:space="preserve">S2-IN-04</t>
  </si>
  <si>
    <t xml:space="preserve">Production planners at agri-linked processors</t>
  </si>
  <si>
    <t xml:space="preserve">Building a feasible production plan when raw-material arrival timing, volume and quality are all stochastic fails — plans rebuilt reactively</t>
  </si>
  <si>
    <t xml:space="preserve">Expediting, utilization loss, service-level misses</t>
  </si>
  <si>
    <t xml:space="preserve">S2-IN-05</t>
  </si>
  <si>
    <t xml:space="preserve">Brands outsourcing to contract manufacturers</t>
  </si>
  <si>
    <t xml:space="preserve">Continuously verifying quality/compliance at plants they don't operate fails — oversight is periodic-audit-based</t>
  </si>
  <si>
    <t xml:space="preserve">Recall exposure, brand damage, audit travel and duplication</t>
  </si>
  <si>
    <t xml:space="preserve">S3-IN-01</t>
  </si>
  <si>
    <t xml:space="preserve">3 · Packaging &amp; labeling</t>
  </si>
  <si>
    <t xml:space="preserve">Compliance/packaging teams at brand owners (incl. mid-size and regional)</t>
  </si>
  <si>
    <t xml:space="preserve">Assembling an auditable plastic footprint (tonnage by category, recycled content, verified-recycler certificates) fails — data scattered across converters/recyclers; enforcement now digital and physical-verification based</t>
  </si>
  <si>
    <t xml:space="preserve">Crore-level penalty exposure, certificate over-purchase as insurance, market-access risk</t>
  </si>
  <si>
    <t xml:space="preserve">S3-IN-02</t>
  </si>
  <si>
    <t xml:space="preserve">Brands built on sachet/MLP formats</t>
  </si>
  <si>
    <t xml:space="preserve">Meeting shelf-life and price-point requirements with formats that satisfy rising recyclability/recycled-content rules fails — MLP structurally non-recyclable, EPR cost escalating (2026 EC-rate hike)</t>
  </si>
  <si>
    <t xml:space="preserve">Highest per-kg EPR obligation, or redesign risking shelf life and Rs 5/10 price architecture</t>
  </si>
  <si>
    <t xml:space="preserve">S3-IN-03</t>
  </si>
  <si>
    <t xml:space="preserve">Procurement at brands and converters</t>
  </si>
  <si>
    <t xml:space="preserve">Sourcing certified food-grade rPET/rHDPE at mandated, rising percentages fails against thin domestic supply of food-contact recyclate</t>
  </si>
  <si>
    <t xml:space="preserve">Premium pricing, certificate purchases in lieu, non-compliance risk</t>
  </si>
  <si>
    <t xml:space="preserve">S3-IN-04</t>
  </si>
  <si>
    <t xml:space="preserve">Regulatory teams at food brands</t>
  </si>
  <si>
    <t xml:space="preserve">Keeping every SKU's label compliant (FSSAI display rules, recyclability marking, QR mandates) across frequent rule changes fails on email-and-PDF artwork control</t>
  </si>
  <si>
    <t xml:space="preserve">Relabeling runs, stock write-offs, penalty exposure amid enforcement surge</t>
  </si>
  <si>
    <t xml:space="preserve">S3-IN-05</t>
  </si>
  <si>
    <t xml:space="preserve">Brands sourcing from MSME converters</t>
  </si>
  <si>
    <t xml:space="preserve">Verifying migration-test compliance, food-contact safety, and EPR-relevant material claims across small suppliers fails — audit capacity doesn't scale down</t>
  </si>
  <si>
    <t xml:space="preserve">Recall/contamination exposure, supplier churn, duplicated audits</t>
  </si>
  <si>
    <t xml:space="preserve">S4-IN-01</t>
  </si>
  <si>
    <t xml:space="preserve">4 · Logistics &amp; storage</t>
  </si>
  <si>
    <t xml:space="preserve">FPOs, aggregators, processors, q-commerce/retail buyers of fresh produce</t>
  </si>
  <si>
    <t xml:space="preserve">Moving perishables from farmgate through aggregation to city DCs within shelf life fails — capacity skewed to few commodities/belts; pack-house/pre-cooling missing at origin</t>
  </si>
  <si>
    <t xml:space="preserve">Post-harvest losses (~Rs 90,000 cr/yr land here); buyers over-order to compensate, compounding waste</t>
  </si>
  <si>
    <t xml:space="preserve">S4-IN-02</t>
  </si>
  <si>
    <t xml:space="preserve">Fragmented cold-store owners + shippers needing multi-temp capacity</t>
  </si>
  <si>
    <t xml:space="preserve">Matching available temperature-controlled space/trucks to demand fails — no liquid marketplace; discovery relational; assets seasonal-empty in potato belts while compliant capacity scarce elsewhere</t>
  </si>
  <si>
    <t xml:space="preserve">Idle-asset losses for owners; premium spot rates and service failures for shippers</t>
  </si>
  <si>
    <t xml:space="preserve">S4-IN-03</t>
  </si>
  <si>
    <t xml:space="preserve">Cold-store and reefer operators</t>
  </si>
  <si>
    <t xml:space="preserve">Holding temperature economically fails against grid unreliability — electricity dominates opex, diesel backup inflates cost</t>
  </si>
  <si>
    <t xml:space="preserve">Opex at 15–40% of capex annually; margin erosion; temperature excursions when economizing</t>
  </si>
  <si>
    <t xml:space="preserve">S4-IN-04</t>
  </si>
  <si>
    <t xml:space="preserve">Brands/processors shipping temperature-sensitive goods via third parties</t>
  </si>
  <si>
    <t xml:space="preserve">Proving unbroken cold chain across fragmented custody (truck → hub → truck → dark store) fails — monitoring gaps; excursion liability undocumented and disputed</t>
  </si>
  <si>
    <t xml:space="preserve">Spoilage write-offs, rejected consignments, claims friction, expiry-driven returns downstream</t>
  </si>
  <si>
    <t xml:space="preserve">S4-IN-05</t>
  </si>
  <si>
    <t xml:space="preserve">Supply planners at FMCG brands and q-commerce platforms</t>
  </si>
  <si>
    <t xml:space="preserve">Positioning fresh/short-dated inventory across plant → mother DC → city hub → dark store echelons fails — demand volatile at 2–4 km granularity, shelf life in days</t>
  </si>
  <si>
    <t xml:space="preserve">Simultaneous stockouts and expiry-driven waste at dark stores</t>
  </si>
  <si>
    <t xml:space="preserve">SM-IN-01</t>
  </si>
  <si>
    <t xml:space="preserve">Seam 3→4 · Pack × Move</t>
  </si>
  <si>
    <t xml:space="preserve">Brand packaging + supply chain leadership (jointly unowned)</t>
  </si>
  <si>
    <t xml:space="preserve">Designing packs against total landed cost (transit damage, cube, cold-chain dependence) fails — packaging optimized for shelf/unit cost in one department, transit and temperature costs land in another</t>
  </si>
  <si>
    <t xml:space="preserve">Transit damage, cube waste, avoidable reefer dependence (joint redesign proved −70% logistics cost)</t>
  </si>
  <si>
    <t xml:space="preserve">S5-IN-01</t>
  </si>
  <si>
    <t xml:space="preserve">5 · Distribution &amp; wholesale</t>
  </si>
  <si>
    <t xml:space="preserve">Distributors + brand commercial teams</t>
  </si>
  <si>
    <t xml:space="preserve">Tracking scheme eligibility, filing claims, collecting settlements fails — cycles run 30–90 days; unclaimed incentives leak 0.5–1.5% of revenue on 3–15% margins</t>
  </si>
  <si>
    <t xml:space="preserve">The biggest hidden cost of distribution; trust erosion fueling the AICPDF revolt</t>
  </si>
  <si>
    <t xml:space="preserve">S5-IN-02</t>
  </si>
  <si>
    <t xml:space="preserve">Distributors funding retailer credit</t>
  </si>
  <si>
    <t xml:space="preserve">Financing 30–45-day floats while q-commerce diverts volume fails — credit cycles stretch as retailer footfall drops</t>
  </si>
  <si>
    <t xml:space="preserve">WC interest 0.6–1.25% of revenue, defaults 0.25–1%, exit of good distributors</t>
  </si>
  <si>
    <t xml:space="preserve">S5-IN-03</t>
  </si>
  <si>
    <t xml:space="preserve">Brand sales leadership</t>
  </si>
  <si>
    <t xml:space="preserve">Maintaining MOP parity across GT/MT/e-comm/q-comm fails — same SKUs at different prices simultaneously; no real-time visibility into who discounts what where</t>
  </si>
  <si>
    <t xml:space="preserve">Distributor compensation demands, GT erosion (25–30% monthly declines in worst 2024 stretch), brand-equity damage</t>
  </si>
  <si>
    <t xml:space="preserve">S5-IN-04</t>
  </si>
  <si>
    <t xml:space="preserve">Regional (Rs 50–500 cr) brands expanding beyond home states</t>
  </si>
  <si>
    <t xml:space="preserve">Seeing and managing secondary sales (distributor → retailer) in new territories fails — the home-state machine doesn't transplant</t>
  </si>
  <si>
    <t xml:space="preserve">Failed state expansions, dead stock, distributor churn, bloated working capital</t>
  </si>
  <si>
    <t xml:space="preserve">S5-IN-05</t>
  </si>
  <si>
    <t xml:space="preserve">Distributors and brands jointly</t>
  </si>
  <si>
    <t xml:space="preserve">Processing expiry/damage returns fails — no guaranteed timelines or clean documentation (explicit AICPDF demand)</t>
  </si>
  <si>
    <t xml:space="preserve">Disputed write-offs on top of 0.5–2% spoilage leakage; cash stuck in limbo</t>
  </si>
  <si>
    <t xml:space="preserve">S6-IN-01</t>
  </si>
  <si>
    <t xml:space="preserve">6 · Retail &amp; channels</t>
  </si>
  <si>
    <t xml:space="preserve">Kirana owners</t>
  </si>
  <si>
    <t xml:space="preserve">Deciding what to stock and reorder across 1,000+ SKUs fails — runs on memory and salesman push; no velocity or margin-per-SKU data</t>
  </si>
  <si>
    <t xml:space="preserve">Dead stock + stockouts simultaneously on businesses losing footfall to QC; ~2 lakh closures the tail of this</t>
  </si>
  <si>
    <t xml:space="preserve">S6-IN-02</t>
  </si>
  <si>
    <t xml:space="preserve">Q-commerce category and store-ops teams</t>
  </si>
  <si>
    <t xml:space="preserve">Localizing assortment and inventory depth per dark store (2–4 km catchments) for perishables fails at scale — dairy/fresh cold complexity hardest</t>
  </si>
  <si>
    <t xml:space="preserve">Waste + availability misses in the highest-frequency traffic categories</t>
  </si>
  <si>
    <t xml:space="preserve">S6-IN-03</t>
  </si>
  <si>
    <t xml:space="preserve">Brand field-sales organizations</t>
  </si>
  <si>
    <t xml:space="preserve">Knowing on-shelf availability, share of shelf, scheme execution across millions of outlets fails — SFA data self-reported by incentivized salesmen</t>
  </si>
  <si>
    <t xml:space="preserve">Phantom distribution, wasted trade schemes, slow detection of competitive displacement</t>
  </si>
  <si>
    <t xml:space="preserve">S6-IN-04</t>
  </si>
  <si>
    <t xml:space="preserve">Kiranas and their distributors</t>
  </si>
  <si>
    <t xml:space="preserve">Financing inventory on informal credit fails as distributor working capital compresses upstream</t>
  </si>
  <si>
    <t xml:space="preserve">Shrinking assortments; closures concentrated among credit-dependent stores (~80% of kiranas)</t>
  </si>
  <si>
    <t xml:space="preserve">S7-IN-01</t>
  </si>
  <si>
    <t xml:space="preserve">7 · Consumer, returns &amp; waste</t>
  </si>
  <si>
    <t xml:space="preserve">Q-commerce platforms and organized retail</t>
  </si>
  <si>
    <t xml:space="preserve">Tracking remaining shelf life at item/batch level across thousands of high-churn dark stores fails — systems count SKUs, not dates</t>
  </si>
  <si>
    <t xml:space="preserve">Regulatory exposure under 30%-shelf-life/45-day rule; pull-and-waste of near-expiry stock; consumer trust deficit</t>
  </si>
  <si>
    <t xml:space="preserve">S7-IN-02</t>
  </si>
  <si>
    <t xml:space="preserve">Brands and distributors</t>
  </si>
  <si>
    <t xml:space="preserve">Collecting expired/damaged stock, verifying quantities, ensuring certified destruction fails — the reverse chain is unaudited</t>
  </si>
  <si>
    <t xml:space="preserve">Disputed claims; brand liability when forged-date goods resurface; public-health harm</t>
  </si>
  <si>
    <t xml:space="preserve">S7-IN-03</t>
  </si>
  <si>
    <t xml:space="preserve">Brand commercial teams</t>
  </si>
  <si>
    <t xml:space="preserve">Clearing near-dated inventory fails — q-commerce discounting triggers MOP conflict; formal markdown/donation channels barely exist</t>
  </si>
  <si>
    <t xml:space="preserve">Write-offs or channel-conflict fires, chosen weekly</t>
  </si>
  <si>
    <t xml:space="preserve">S7-IN-04</t>
  </si>
  <si>
    <t xml:space="preserve">E-commerce/q-commerce compliance teams</t>
  </si>
  <si>
    <t xml:space="preserve">Satisfying FSSAI (freshness at delivery) and Legal Metrology/DCA (declarations at point of sale) fails — per-item dates never sync brand → platform → listing</t>
  </si>
  <si>
    <t xml:space="preserve">Penalties, listing takedowns, audit scramble</t>
  </si>
  <si>
    <t xml:space="preserve">S1-US-01</t>
  </si>
  <si>
    <t xml:space="preserve">US</t>
  </si>
  <si>
    <t xml:space="preserve">Mid-size manufacturers (hundreds–thousands of SKUs)</t>
  </si>
  <si>
    <t xml:space="preserve">Tracking which SKU contains which flagged ingredient, which jurisdiction's rule applies when, which substitute is qualified, per-SKU re-validation status fails — spreadsheets vs 20+ state regimes; conversions take 6–12 months</t>
  </si>
  <si>
    <t xml:space="preserve">Fines to $10k/violation (WV), delisting vs retailer mandates, stranded packaging/inventory</t>
  </si>
  <si>
    <t xml:space="preserve">S1-US-02</t>
  </si>
  <si>
    <t xml:space="preserve">R&amp;D + procurement replacing functional ingredients</t>
  </si>
  <si>
    <t xml:space="preserve">Finding and qualifying replacements that survive the product matrix (pH, heat, light, shelf life) AND supply at scale fails — natural colors 5–15x cost, 10–50x use levels</t>
  </si>
  <si>
    <t xml:space="preserve">Delayed launches, failed consumer tests, duplicated trial work across SKUs</t>
  </si>
  <si>
    <t xml:space="preserve">S1-US-03</t>
  </si>
  <si>
    <t xml:space="preserve">Sourcing teams dependent on crop-based specialty inputs</t>
  </si>
  <si>
    <t xml:space="preserve">Securing multi-season supply at consistent spec fails — crop yields, seasonality, shortages; some inputs need cold chain</t>
  </si>
  <si>
    <t xml:space="preserve">Shortage premiums, spot-buy exposure, line stoppages (2026-27 color crunch = sharpest current expression)</t>
  </si>
  <si>
    <t xml:space="preserve">S1-US-04</t>
  </si>
  <si>
    <t xml:space="preserve">Procurement at mid-size manufacturers without commodity desks</t>
  </si>
  <si>
    <t xml:space="preserve">Forecasting and locking input costs fails amid extreme dispersion (beef +12.9%, coffee +17.5% y/y vs wheat/sugar lows) plus tariff pass-through</t>
  </si>
  <si>
    <t xml:space="preserve">Margin whiplash; mispriced annual retailer contracts that won't reopen</t>
  </si>
  <si>
    <t xml:space="preserve">S1-US-05</t>
  </si>
  <si>
    <t xml:space="preserve">Regulatory/compliance teams</t>
  </si>
  <si>
    <t xml:space="preserve">Maintaining an authoritative SKU × ingredient × jurisdiction × effective-date map fails — federal phase-out voluntary, real teeth in shifting state laws and retail standards</t>
  </si>
  <si>
    <t xml:space="preserve">Compliance-by-panic, over-conservative reformulation, legal spend</t>
  </si>
  <si>
    <t xml:space="preserve">S2-US-01</t>
  </si>
  <si>
    <t xml:space="preserve">Plant managers, 24/7 perishable operations</t>
  </si>
  <si>
    <t xml:space="preserve">Staffing production, sanitation, inspection roles fails — 622k mfg jobs unfilled, 2.1M projected vacant by 2030</t>
  </si>
  <si>
    <t xml:space="preserve">Slowed output, spoilage of perishable WIP, overtime burn, sanitation compliance risk</t>
  </si>
  <si>
    <t xml:space="preserve">S2-US-02</t>
  </si>
  <si>
    <t xml:space="preserve">Mid-market manufacturers</t>
  </si>
  <si>
    <t xml:space="preserve">Specifying, justifying, implementing automation fails — upfront cost exceeds reserves; benefits can't be quantified financially; adoption skews to large corporations</t>
  </si>
  <si>
    <t xml:space="preserve">Widening unit-cost gap vs scaled competitors; permanent labor exposure</t>
  </si>
  <si>
    <t xml:space="preserve">S2-US-03</t>
  </si>
  <si>
    <t xml:space="preserve">Maintenance leads on aging lines</t>
  </si>
  <si>
    <t xml:space="preserve">Sustaining uptime with shrinking skilled-technician headcount fails — roles notoriously hard to fill; knowledge retires</t>
  </si>
  <si>
    <t xml:space="preserve">Unplanned downtime (predictive-AI benchmark: −75%), overtime, cannibalized planned maintenance</t>
  </si>
  <si>
    <t xml:space="preserve">S2-US-04</t>
  </si>
  <si>
    <t xml:space="preserve">Ops + R&amp;D at manufacturers converting portfolios</t>
  </si>
  <si>
    <t xml:space="preserve">Running line trials, scale-up, packaging changes across dozens–hundreds of SKUs in parallel fails — each is effectively a new launch</t>
  </si>
  <si>
    <t xml:space="preserve">Trial downtime on revenue lines, launch slips, capex surprises</t>
  </si>
  <si>
    <t xml:space="preserve">S2-US-05</t>
  </si>
  <si>
    <t xml:space="preserve">Plant IT/OT owners</t>
  </si>
  <si>
    <t xml:space="preserve">Securing rapidly connected equipment fails — next-gen automation without security exposes process data and uptime</t>
  </si>
  <si>
    <t xml:space="preserve">Breach/ransomware downtime risk on thin-margin perishable throughput</t>
  </si>
  <si>
    <t xml:space="preserve">S3-US-01</t>
  </si>
  <si>
    <t xml:space="preserve">Packaging/regulatory teams at national CPG brands</t>
  </si>
  <si>
    <t xml:space="preserve">Maintaining a packaging-spec × state × program × deadline map (7 EPR + 12 PFAS regimes + PCR + labeling, stacked) fails in spreadsheets</t>
  </si>
  <si>
    <t xml:space="preserve">EPR fees to ~1% of sales per jurisdiction, penalties, public noncompliance listing (OR), market-access risk</t>
  </si>
  <si>
    <t xml:space="preserve">S3-US-02</t>
  </si>
  <si>
    <t xml:space="preserve">Same teams (root cause under S3-US-01)</t>
  </si>
  <si>
    <t xml:space="preserve">Producing item-level packaging composition data (material, weight, PCR%, recyclability class per state) for annual PRO reports fails — never captured in ERP/PLM</t>
  </si>
  <si>
    <t xml:space="preserve">Manual data archaeology every cycle, misreported fees, audit exposure</t>
  </si>
  <si>
    <t xml:space="preserve">S3-US-03</t>
  </si>
  <si>
    <t xml:space="preserve">Packaging engineers + procurement</t>
  </si>
  <si>
    <t xml:space="preserve">Replacing PFAS-bearing barriers and proving it (no intentional PFAS, 100 ppm TOF, certificates with test data) fails across fragmented supplier bases</t>
  </si>
  <si>
    <t xml:space="preserve">Testing spend, supplier requalification cycles, state penalties, delisting</t>
  </si>
  <si>
    <t xml:space="preserve">S3-US-04</t>
  </si>
  <si>
    <t xml:space="preserve">Packaging designers at brands</t>
  </si>
  <si>
    <t xml:space="preserve">Choosing formats/materials minimizing stacked eco-modulated fees across states while preserving shelf life and line speed fails — no design tooling encodes the fee landscape</t>
  </si>
  <si>
    <t xml:space="preserve">Avoidable recurring fees (credits to 10% left on table) or redesigns breaking production economics</t>
  </si>
  <si>
    <t xml:space="preserve">S4-US-01</t>
  </si>
  <si>
    <t xml:space="preserve">Supply chain + finance at suppliers into major retailers</t>
  </si>
  <si>
    <t xml:space="preserve">Hitting 95–98% OTIF across retailers with different metrics/windows/portals, then auditing and disputing automated chargebacks fails — only 20–30% of deductions disputed though many invalid</t>
  </si>
  <si>
    <t xml:space="preserve">~3% of COGS per violation as recurring P&amp;L leak; analyst time buried in non-reconciling programs</t>
  </si>
  <si>
    <t xml:space="preserve">S4-US-02</t>
  </si>
  <si>
    <t xml:space="preserve">Mid-size suppliers and their 3PLs/co-packers</t>
  </si>
  <si>
    <t xml:space="preserve">Capturing and transmitting lot-level KDEs at each CTE to retailer spec fails across mixed paper/WMS environments — clock is buyer-driven (Walmart now; 2-hour demands) despite FDA 2028</t>
  </si>
  <si>
    <t xml:space="preserve">Chargebacks, delisting risk, panic-priced consulting/IT projects</t>
  </si>
  <si>
    <t xml:space="preserve">S4-US-03</t>
  </si>
  <si>
    <t xml:space="preserve">Cold-storage operators and self-storing manufacturers</t>
  </si>
  <si>
    <t xml:space="preserve">Maintaining temperature integrity and throughput on 37-year-old refrigeration plants fails — retrofit-vs-rebuild capital decision under oversupply-suppressed rates</t>
  </si>
  <si>
    <t xml:space="preserve">Energy waste (automation benchmark: −66% available), excursion losses, deferred-maintenance risk</t>
  </si>
  <si>
    <t xml:space="preserve">S4-US-04</t>
  </si>
  <si>
    <t xml:space="preserve">Transportation teams at perishables shippers</t>
  </si>
  <si>
    <t xml:space="preserve">Securing reefer capacity at predictable cost across seasonal swings fails between rigid annual RFPs and volatile spot</t>
  </si>
  <si>
    <t xml:space="preserve">Budget overruns in surge windows; service failures feeding OTIF fines (3-step cost cascade)</t>
  </si>
  <si>
    <t xml:space="preserve">S4-US-05</t>
  </si>
  <si>
    <t xml:space="preserve">Network planners at manufacturers/3PLs</t>
  </si>
  <si>
    <t xml:space="preserve">Deciding where to hold which inventory at which temperature fails as GLP-1-era demand and e-grocery reshape flows against long-lease fixed assets</t>
  </si>
  <si>
    <t xml:space="preserve">Stranded capacity (20-yr-high vacancy partly this mismatch monetized), expedited transfers, lost fresh shelf life</t>
  </si>
  <si>
    <t xml:space="preserve">SM-US-01</t>
  </si>
  <si>
    <t xml:space="preserve">Seam 4→5 · Delivery × Settlement</t>
  </si>
  <si>
    <t xml:space="preserve">Supply planners at suppliers into major retailers</t>
  </si>
  <si>
    <t xml:space="preserve">Planning production/inventory against volatile retailer POs without shared forecasts fails — buffer stock is the only defense while OTIF punishes both directions; POS data behind paywalls</t>
  </si>
  <si>
    <t xml:space="preserve">Inflated safety stock plus fines when buffers miss; working capital as insurance</t>
  </si>
  <si>
    <t xml:space="preserve">S5-US-01</t>
  </si>
  <si>
    <t xml:space="preserve">Trade/finance teams at CPG brands</t>
  </si>
  <si>
    <t xml:space="preserve">Proving which promotions generated incremental lift fails — overlapping promos planned in spreadsheets across dozens of retailers with distinct calendars/compliance</t>
  </si>
  <si>
    <t xml:space="preserve">The ineffective 25–70% of a 15–25%-of-gross-sales budget; tens of millions per $1B revenue</t>
  </si>
  <si>
    <t xml:space="preserve">S5-US-02</t>
  </si>
  <si>
    <t xml:space="preserve">AR/finance at suppliers of all sizes</t>
  </si>
  <si>
    <t xml:space="preserve">Matching each short-pay to its promotion, validating, disputing invalid ones fails — hours weekly of manual reconciliation; vague justifications</t>
  </si>
  <si>
    <t xml:space="preserve">1–2% of trade spend routinely invalid and unrecovered; analyst labor; small companies lack bandwidth entirely</t>
  </si>
  <si>
    <t xml:space="preserve">S5-US-03</t>
  </si>
  <si>
    <t xml:space="preserve">CFOs at CPG companies</t>
  </si>
  <si>
    <t xml:space="preserve">Maintaining accurate trade accruals fails — trade is contra-revenue; inaccurate planning distorts understanding of true profitability</t>
  </si>
  <si>
    <t xml:space="preserve">Earnings surprises, mispriced customers, audit pain</t>
  </si>
  <si>
    <t xml:space="preserve">S5-US-04</t>
  </si>
  <si>
    <t xml:space="preserve">Emerging brands selling via UNFI/KeHE</t>
  </si>
  <si>
    <t xml:space="preserve">Seeing sell-through, chargebacks (MCBs, free fills, spoilage allowances) and true net price by retailer fails — wholesaler statements notoriously opaque</t>
  </si>
  <si>
    <t xml:space="preserve">Discovering per-case losses quarters later; a known emerging-brand killer</t>
  </si>
  <si>
    <t xml:space="preserve">S6-US-01</t>
  </si>
  <si>
    <t xml:space="preserve">Brand marketing/trade leadership</t>
  </si>
  <si>
    <t xml:space="preserve">Measuring incrementality across avg. 6 (heading to 11) retail-media networks with non-comparable metrics fails — dashboards show impressions/ROAS, not movement</t>
  </si>
  <si>
    <t xml:space="preserve">39% of ad budget allocated on faith; awareness CPMs 3–5x programmatic for same reach</t>
  </si>
  <si>
    <t xml:space="preserve">S6-US-02</t>
  </si>
  <si>
    <t xml:space="preserve">Brand/category teams at mid-tier national brands</t>
  </si>
  <si>
    <t xml:space="preserve">Justifying price premiums SKU-by-SKU fails as private label hits 23.8% unit share with perceived quality parity</t>
  </si>
  <si>
    <t xml:space="preserve">Shelf-space losses, forced promo depth (feeding trade-waste loop), tail-SKU delisting</t>
  </si>
  <si>
    <t xml:space="preserve">S6-US-03</t>
  </si>
  <si>
    <t xml:space="preserve">Independent grocers and their wholesalers</t>
  </si>
  <si>
    <t xml:space="preserve">Matching chain pricing, private-label programs and e-commerce capability at sub-scale fails</t>
  </si>
  <si>
    <t xml:space="preserve">Share loss to Walmart/Aldi/dollar; consolidation pressure (the C&amp;S–SpartanNash logic)</t>
  </si>
  <si>
    <t xml:space="preserve">S6-US-04</t>
  </si>
  <si>
    <t xml:space="preserve">CPG field teams</t>
  </si>
  <si>
    <t xml:space="preserve">Verifying planogram compliance and paid display execution across thousands of stores fails — audits sparse, self-reported, or crowdsourced</t>
  </si>
  <si>
    <t xml:space="preserve">Paying trade/retail-media dollars for execution that never happened</t>
  </si>
  <si>
    <t xml:space="preserve">S7-US-01</t>
  </si>
  <si>
    <t xml:space="preserve">Grocery fresh/perishable department managers</t>
  </si>
  <si>
    <t xml:space="preserve">Ordering short-shelf-life product to match store-level demand fails — over-order eats shrink, under-order loses sales</t>
  </si>
  <si>
    <t xml:space="preserve">Retail share of $230B business losses to unsold food; shrink among largest controllable fresh P&amp;L lines</t>
  </si>
  <si>
    <t xml:space="preserve">S7-US-02</t>
  </si>
  <si>
    <t xml:space="preserve">Manufacturers and distributors holding excess/short-dated inventory</t>
  </si>
  <si>
    <t xml:space="preserve">Deciding fast the best-value destination per lot (discount vs donation+tax benefit vs organics vs landfill) and executing paperwork fails — ad hoc, relationship-based</t>
  </si>
  <si>
    <t xml:space="preserve">Value decay to zero, rising landfill fees under state organics bans, forfeited tax deductions</t>
  </si>
  <si>
    <t xml:space="preserve">S7-US-03</t>
  </si>
  <si>
    <t xml:space="preserve">QA/regulatory at manufacturers (esp. co-packed, multi-line plants)</t>
  </si>
  <si>
    <t xml:space="preserve">Ensuring the physical package matches the formula (every allergen declared, right film on right line) fails routinely — ~46% of US recalls are labeling failures; reformulation waves raise change volume</t>
  </si>
  <si>
    <t xml:space="preserve">Recall events averaging tens of millions of units; millions per event plus litigation and brand damage</t>
  </si>
  <si>
    <t xml:space="preserve">S7-US-04</t>
  </si>
  <si>
    <t xml:space="preserve">QA + supply chain at recalling manufacturers</t>
  </si>
  <si>
    <t xml:space="preserve">Scoping exactly which lots/shipments are affected and retrieving them fails without lot-level traceability — companies over-recall entire lines</t>
  </si>
  <si>
    <t xml:space="preserve">The difference between a surgical recall and a 57M-unit quarter</t>
  </si>
  <si>
    <t xml:space="preserve">SHORTLIST TRACKER</t>
  </si>
  <si>
    <t xml:space="preserve">Enter 1–5 in each scored column (D–K). The Score column computes automatically. Sort by Score to rank candidates across weeks.</t>
  </si>
  <si>
    <t xml:space="preserve">Weights →</t>
  </si>
  <si>
    <t xml:space="preserve">Industry</t>
  </si>
  <si>
    <t xml:space="preserve">Week of</t>
  </si>
  <si>
    <t xml:space="preserve">Candidate problem statement</t>
  </si>
  <si>
    <t xml:space="preserve">Founder-
market fit</t>
  </si>
  <si>
    <t xml:space="preserve">Why-
now</t>
  </si>
  <si>
    <t xml:space="preserve">Problem
intensity</t>
  </si>
  <si>
    <t xml:space="preserve">Willing-
ness to pay</t>
  </si>
  <si>
    <t xml:space="preserve">Market
headroom</t>
  </si>
  <si>
    <t xml:space="preserve">Defensi-
bility</t>
  </si>
  <si>
    <t xml:space="preserve">White-
space</t>
  </si>
  <si>
    <t xml:space="preserve">Speed to
customer</t>
  </si>
  <si>
    <t xml:space="preserve">Score
/100</t>
  </si>
  <si>
    <t xml:space="preserve">Kill-gate</t>
  </si>
  <si>
    <t xml:space="preserve">Notes</t>
  </si>
  <si>
    <t xml:space="preserve">(example)</t>
  </si>
  <si>
    <t xml:space="preserve">—</t>
  </si>
  <si>
    <t xml:space="preserve">For X who do Y, the pain is Z … wedge = …</t>
  </si>
  <si>
    <t xml:space="preserve">Pass</t>
  </si>
  <si>
    <t xml:space="preserve">Park</t>
  </si>
  <si>
    <t xml:space="preserve">illustrative only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</si>
</sst>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FFFFFF"/>
        <bgColor rgb="FFF2F5F2"/>
      </patternFill>
    </fill>
    <fill>
      <patternFill patternType="solid">
        <fgColor rgb="FFF2F2F2"/>
        <bgColor rgb="FFF2F5F2"/>
      </patternFill>
    </fill>
    <fill>
      <patternFill patternType="solid">
        <fgColor rgb="FFDDEBF7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5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9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true" outlineLevel="0" collapsed="false">
      <c r="A4" s="4" t="n">
        <v>1</v>
      </c>
      <c r="B4" s="5" t="s">
        <v>5</v>
      </c>
      <c r="C4" s="6" t="n">
        <v>0.2</v>
      </c>
      <c r="D4" s="5" t="s">
        <v>6</v>
      </c>
    </row>
    <row r="5" customFormat="false" ht="23.25" hidden="false" customHeight="true" outlineLevel="0" collapsed="false">
      <c r="A5" s="7" t="n">
        <v>2</v>
      </c>
      <c r="B5" s="8" t="s">
        <v>7</v>
      </c>
      <c r="C5" s="9" t="n">
        <v>0.15</v>
      </c>
      <c r="D5" s="8" t="s">
        <v>8</v>
      </c>
    </row>
    <row r="6" customFormat="false" ht="15" hidden="false" customHeight="true" outlineLevel="0" collapsed="false">
      <c r="A6" s="4" t="n">
        <v>3</v>
      </c>
      <c r="B6" s="5" t="s">
        <v>9</v>
      </c>
      <c r="C6" s="6" t="n">
        <v>0.15</v>
      </c>
      <c r="D6" s="5" t="s">
        <v>10</v>
      </c>
    </row>
    <row r="7" customFormat="false" ht="15" hidden="false" customHeight="true" outlineLevel="0" collapsed="false">
      <c r="A7" s="7" t="n">
        <v>4</v>
      </c>
      <c r="B7" s="8" t="s">
        <v>11</v>
      </c>
      <c r="C7" s="9" t="n">
        <v>0.12</v>
      </c>
      <c r="D7" s="8" t="s">
        <v>12</v>
      </c>
    </row>
    <row r="8" customFormat="false" ht="23.25" hidden="false" customHeight="true" outlineLevel="0" collapsed="false">
      <c r="A8" s="4" t="n">
        <v>5</v>
      </c>
      <c r="B8" s="5" t="s">
        <v>13</v>
      </c>
      <c r="C8" s="6" t="n">
        <v>0.12</v>
      </c>
      <c r="D8" s="5" t="s">
        <v>14</v>
      </c>
    </row>
    <row r="9" customFormat="false" ht="15" hidden="false" customHeight="true" outlineLevel="0" collapsed="false">
      <c r="A9" s="7" t="n">
        <v>6</v>
      </c>
      <c r="B9" s="8" t="s">
        <v>15</v>
      </c>
      <c r="C9" s="9" t="n">
        <v>0.1</v>
      </c>
      <c r="D9" s="8" t="s">
        <v>16</v>
      </c>
    </row>
    <row r="10" customFormat="false" ht="15" hidden="false" customHeight="true" outlineLevel="0" collapsed="false">
      <c r="A10" s="4" t="n">
        <v>7</v>
      </c>
      <c r="B10" s="5" t="s">
        <v>17</v>
      </c>
      <c r="C10" s="6" t="n">
        <v>0.08</v>
      </c>
      <c r="D10" s="5" t="s">
        <v>18</v>
      </c>
    </row>
    <row r="11" customFormat="false" ht="15" hidden="false" customHeight="true" outlineLevel="0" collapsed="false">
      <c r="A11" s="7" t="n">
        <v>8</v>
      </c>
      <c r="B11" s="8" t="s">
        <v>19</v>
      </c>
      <c r="C11" s="9" t="n">
        <v>0.08</v>
      </c>
      <c r="D11" s="8" t="s">
        <v>20</v>
      </c>
    </row>
    <row r="12" customFormat="false" ht="15" hidden="false" customHeight="true" outlineLevel="0" collapsed="false">
      <c r="B12" s="10" t="s">
        <v>21</v>
      </c>
      <c r="C12" s="11" t="n">
        <f aca="false">SUM(C4:C11)</f>
        <v>1</v>
      </c>
    </row>
    <row r="14" customFormat="false" ht="15" hidden="false" customHeight="true" outlineLevel="0" collapsed="false">
      <c r="A14" s="12" t="s">
        <v>22</v>
      </c>
      <c r="B14" s="12"/>
      <c r="C14" s="12"/>
      <c r="D14" s="12"/>
    </row>
    <row r="15" customFormat="false" ht="27.75" hidden="false" customHeight="true" outlineLevel="0" collapsed="false">
      <c r="A15" s="12" t="s">
        <v>23</v>
      </c>
      <c r="B15" s="12"/>
      <c r="C15" s="12"/>
      <c r="D15" s="12"/>
    </row>
  </sheetData>
  <mergeCells count="3">
    <mergeCell ref="A1:D1"/>
    <mergeCell ref="A14:D14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9"/>
    <col collapsed="false" customWidth="true" hidden="false" outlineLevel="0" max="4" min="4" style="1" width="22"/>
    <col collapsed="false" customWidth="true" hidden="false" outlineLevel="0" max="5" min="5" style="1" width="34"/>
    <col collapsed="false" customWidth="true" hidden="false" outlineLevel="0" max="6" min="6" style="1" width="62"/>
    <col collapsed="false" customWidth="true" hidden="false" outlineLevel="0" max="7" min="7" style="1" width="44"/>
    <col collapsed="false" customWidth="true" hidden="false" outlineLevel="0" max="8" min="8" style="1" width="8"/>
  </cols>
  <sheetData>
    <row r="1" customFormat="false" ht="17.25" hidden="false" customHeight="true" outlineLevel="0" collapsed="false">
      <c r="A1" s="2" t="s">
        <v>24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12" t="s">
        <v>25</v>
      </c>
      <c r="B2" s="12"/>
      <c r="C2" s="12"/>
      <c r="D2" s="12"/>
      <c r="E2" s="12"/>
      <c r="F2" s="12"/>
      <c r="G2" s="12"/>
      <c r="H2" s="12"/>
    </row>
    <row r="4" customFormat="false" ht="30" hidden="false" customHeight="true" outlineLevel="0" collapsed="false">
      <c r="A4" s="13" t="s">
        <v>26</v>
      </c>
      <c r="B4" s="13" t="s">
        <v>27</v>
      </c>
      <c r="C4" s="13" t="s">
        <v>28</v>
      </c>
      <c r="D4" s="13" t="s">
        <v>29</v>
      </c>
      <c r="E4" s="13" t="s">
        <v>30</v>
      </c>
      <c r="F4" s="13" t="s">
        <v>31</v>
      </c>
      <c r="G4" s="13" t="s">
        <v>32</v>
      </c>
      <c r="H4" s="13" t="s">
        <v>33</v>
      </c>
    </row>
    <row r="5" customFormat="false" ht="15" hidden="false" customHeight="true" outlineLevel="0" collapsed="false">
      <c r="A5" s="14" t="s">
        <v>34</v>
      </c>
      <c r="B5" s="14" t="s">
        <v>35</v>
      </c>
      <c r="C5" s="14" t="s">
        <v>36</v>
      </c>
      <c r="D5" s="14" t="s">
        <v>37</v>
      </c>
      <c r="E5" s="14" t="s">
        <v>38</v>
      </c>
      <c r="F5" s="14" t="s">
        <v>39</v>
      </c>
      <c r="G5" s="14" t="s">
        <v>40</v>
      </c>
      <c r="H5" s="14" t="s">
        <v>41</v>
      </c>
    </row>
    <row r="6" customFormat="false" ht="15" hidden="false" customHeight="true" outlineLevel="0" collapsed="false">
      <c r="A6" s="15" t="s">
        <v>42</v>
      </c>
      <c r="B6" s="15" t="s">
        <v>35</v>
      </c>
      <c r="C6" s="15" t="s">
        <v>36</v>
      </c>
      <c r="D6" s="15" t="s">
        <v>37</v>
      </c>
      <c r="E6" s="15" t="s">
        <v>43</v>
      </c>
      <c r="F6" s="15" t="s">
        <v>44</v>
      </c>
      <c r="G6" s="15" t="s">
        <v>45</v>
      </c>
      <c r="H6" s="15" t="s">
        <v>41</v>
      </c>
    </row>
    <row r="7" customFormat="false" ht="15" hidden="false" customHeight="true" outlineLevel="0" collapsed="false">
      <c r="A7" s="14" t="s">
        <v>46</v>
      </c>
      <c r="B7" s="14" t="s">
        <v>35</v>
      </c>
      <c r="C7" s="14" t="s">
        <v>36</v>
      </c>
      <c r="D7" s="14" t="s">
        <v>37</v>
      </c>
      <c r="E7" s="14" t="s">
        <v>47</v>
      </c>
      <c r="F7" s="14" t="s">
        <v>48</v>
      </c>
      <c r="G7" s="14" t="s">
        <v>49</v>
      </c>
      <c r="H7" s="14" t="s">
        <v>41</v>
      </c>
    </row>
    <row r="8" customFormat="false" ht="15" hidden="false" customHeight="true" outlineLevel="0" collapsed="false">
      <c r="A8" s="15" t="s">
        <v>50</v>
      </c>
      <c r="B8" s="15" t="s">
        <v>35</v>
      </c>
      <c r="C8" s="15" t="s">
        <v>36</v>
      </c>
      <c r="D8" s="15" t="s">
        <v>37</v>
      </c>
      <c r="E8" s="15" t="s">
        <v>51</v>
      </c>
      <c r="F8" s="15" t="s">
        <v>52</v>
      </c>
      <c r="G8" s="15" t="s">
        <v>53</v>
      </c>
      <c r="H8" s="15" t="s">
        <v>41</v>
      </c>
    </row>
    <row r="9" customFormat="false" ht="15" hidden="false" customHeight="true" outlineLevel="0" collapsed="false">
      <c r="A9" s="14" t="s">
        <v>54</v>
      </c>
      <c r="B9" s="14" t="s">
        <v>35</v>
      </c>
      <c r="C9" s="14" t="s">
        <v>36</v>
      </c>
      <c r="D9" s="14" t="s">
        <v>37</v>
      </c>
      <c r="E9" s="14" t="s">
        <v>55</v>
      </c>
      <c r="F9" s="14" t="s">
        <v>56</v>
      </c>
      <c r="G9" s="14" t="s">
        <v>57</v>
      </c>
      <c r="H9" s="14" t="s">
        <v>41</v>
      </c>
    </row>
    <row r="10" customFormat="false" ht="15" hidden="false" customHeight="true" outlineLevel="0" collapsed="false">
      <c r="A10" s="15" t="s">
        <v>58</v>
      </c>
      <c r="B10" s="15" t="s">
        <v>35</v>
      </c>
      <c r="C10" s="15" t="s">
        <v>36</v>
      </c>
      <c r="D10" s="15" t="s">
        <v>37</v>
      </c>
      <c r="E10" s="15" t="s">
        <v>59</v>
      </c>
      <c r="F10" s="15" t="s">
        <v>60</v>
      </c>
      <c r="G10" s="15" t="s">
        <v>61</v>
      </c>
      <c r="H10" s="15" t="s">
        <v>41</v>
      </c>
    </row>
    <row r="11" customFormat="false" ht="15" hidden="false" customHeight="true" outlineLevel="0" collapsed="false">
      <c r="A11" s="14" t="s">
        <v>62</v>
      </c>
      <c r="B11" s="14" t="s">
        <v>35</v>
      </c>
      <c r="C11" s="14" t="s">
        <v>36</v>
      </c>
      <c r="D11" s="14" t="s">
        <v>63</v>
      </c>
      <c r="E11" s="14" t="s">
        <v>64</v>
      </c>
      <c r="F11" s="14" t="s">
        <v>65</v>
      </c>
      <c r="G11" s="14" t="s">
        <v>66</v>
      </c>
      <c r="H11" s="14" t="s">
        <v>41</v>
      </c>
    </row>
    <row r="12" customFormat="false" ht="15" hidden="false" customHeight="true" outlineLevel="0" collapsed="false">
      <c r="A12" s="15" t="s">
        <v>67</v>
      </c>
      <c r="B12" s="15" t="s">
        <v>35</v>
      </c>
      <c r="C12" s="15" t="s">
        <v>36</v>
      </c>
      <c r="D12" s="15" t="s">
        <v>63</v>
      </c>
      <c r="E12" s="15" t="s">
        <v>68</v>
      </c>
      <c r="F12" s="15" t="s">
        <v>69</v>
      </c>
      <c r="G12" s="15" t="s">
        <v>70</v>
      </c>
      <c r="H12" s="15" t="s">
        <v>41</v>
      </c>
    </row>
    <row r="13" customFormat="false" ht="15" hidden="false" customHeight="true" outlineLevel="0" collapsed="false">
      <c r="A13" s="14" t="s">
        <v>71</v>
      </c>
      <c r="B13" s="14" t="s">
        <v>35</v>
      </c>
      <c r="C13" s="14" t="s">
        <v>36</v>
      </c>
      <c r="D13" s="14" t="s">
        <v>63</v>
      </c>
      <c r="E13" s="14" t="s">
        <v>72</v>
      </c>
      <c r="F13" s="14" t="s">
        <v>73</v>
      </c>
      <c r="G13" s="14" t="s">
        <v>74</v>
      </c>
      <c r="H13" s="14" t="s">
        <v>41</v>
      </c>
    </row>
    <row r="14" customFormat="false" ht="15" hidden="false" customHeight="true" outlineLevel="0" collapsed="false">
      <c r="A14" s="15" t="s">
        <v>75</v>
      </c>
      <c r="B14" s="15" t="s">
        <v>35</v>
      </c>
      <c r="C14" s="15" t="s">
        <v>36</v>
      </c>
      <c r="D14" s="15" t="s">
        <v>63</v>
      </c>
      <c r="E14" s="15" t="s">
        <v>76</v>
      </c>
      <c r="F14" s="15" t="s">
        <v>77</v>
      </c>
      <c r="G14" s="15" t="s">
        <v>78</v>
      </c>
      <c r="H14" s="15" t="s">
        <v>41</v>
      </c>
    </row>
    <row r="15" customFormat="false" ht="15" hidden="false" customHeight="true" outlineLevel="0" collapsed="false">
      <c r="A15" s="14" t="s">
        <v>79</v>
      </c>
      <c r="B15" s="14" t="s">
        <v>35</v>
      </c>
      <c r="C15" s="14" t="s">
        <v>36</v>
      </c>
      <c r="D15" s="14" t="s">
        <v>63</v>
      </c>
      <c r="E15" s="14" t="s">
        <v>80</v>
      </c>
      <c r="F15" s="14" t="s">
        <v>81</v>
      </c>
      <c r="G15" s="14" t="s">
        <v>82</v>
      </c>
      <c r="H15" s="14" t="s">
        <v>41</v>
      </c>
    </row>
    <row r="16" customFormat="false" ht="15" hidden="false" customHeight="true" outlineLevel="0" collapsed="false">
      <c r="A16" s="15" t="s">
        <v>83</v>
      </c>
      <c r="B16" s="15" t="s">
        <v>35</v>
      </c>
      <c r="C16" s="15" t="s">
        <v>36</v>
      </c>
      <c r="D16" s="15" t="s">
        <v>84</v>
      </c>
      <c r="E16" s="15" t="s">
        <v>85</v>
      </c>
      <c r="F16" s="15" t="s">
        <v>86</v>
      </c>
      <c r="G16" s="15" t="s">
        <v>87</v>
      </c>
      <c r="H16" s="15" t="s">
        <v>41</v>
      </c>
    </row>
    <row r="17" customFormat="false" ht="15" hidden="false" customHeight="true" outlineLevel="0" collapsed="false">
      <c r="A17" s="14" t="s">
        <v>88</v>
      </c>
      <c r="B17" s="14" t="s">
        <v>35</v>
      </c>
      <c r="C17" s="14" t="s">
        <v>36</v>
      </c>
      <c r="D17" s="14" t="s">
        <v>84</v>
      </c>
      <c r="E17" s="14" t="s">
        <v>89</v>
      </c>
      <c r="F17" s="14" t="s">
        <v>90</v>
      </c>
      <c r="G17" s="14" t="s">
        <v>91</v>
      </c>
      <c r="H17" s="14" t="s">
        <v>41</v>
      </c>
    </row>
    <row r="18" customFormat="false" ht="15" hidden="false" customHeight="true" outlineLevel="0" collapsed="false">
      <c r="A18" s="15" t="s">
        <v>92</v>
      </c>
      <c r="B18" s="15" t="s">
        <v>35</v>
      </c>
      <c r="C18" s="15" t="s">
        <v>36</v>
      </c>
      <c r="D18" s="15" t="s">
        <v>84</v>
      </c>
      <c r="E18" s="15" t="s">
        <v>93</v>
      </c>
      <c r="F18" s="15" t="s">
        <v>94</v>
      </c>
      <c r="G18" s="15" t="s">
        <v>95</v>
      </c>
      <c r="H18" s="15" t="s">
        <v>41</v>
      </c>
    </row>
    <row r="19" customFormat="false" ht="15" hidden="false" customHeight="true" outlineLevel="0" collapsed="false">
      <c r="A19" s="14" t="s">
        <v>96</v>
      </c>
      <c r="B19" s="14" t="s">
        <v>35</v>
      </c>
      <c r="C19" s="14" t="s">
        <v>36</v>
      </c>
      <c r="D19" s="14" t="s">
        <v>84</v>
      </c>
      <c r="E19" s="14" t="s">
        <v>97</v>
      </c>
      <c r="F19" s="14" t="s">
        <v>98</v>
      </c>
      <c r="G19" s="14" t="s">
        <v>99</v>
      </c>
      <c r="H19" s="14" t="s">
        <v>41</v>
      </c>
    </row>
    <row r="20" customFormat="false" ht="15" hidden="false" customHeight="true" outlineLevel="0" collapsed="false">
      <c r="A20" s="15" t="s">
        <v>100</v>
      </c>
      <c r="B20" s="15" t="s">
        <v>35</v>
      </c>
      <c r="C20" s="15" t="s">
        <v>36</v>
      </c>
      <c r="D20" s="15" t="s">
        <v>84</v>
      </c>
      <c r="E20" s="15" t="s">
        <v>101</v>
      </c>
      <c r="F20" s="15" t="s">
        <v>102</v>
      </c>
      <c r="G20" s="15" t="s">
        <v>103</v>
      </c>
      <c r="H20" s="15" t="s">
        <v>41</v>
      </c>
    </row>
    <row r="21" customFormat="false" ht="15" hidden="false" customHeight="true" outlineLevel="0" collapsed="false">
      <c r="A21" s="14" t="s">
        <v>104</v>
      </c>
      <c r="B21" s="14" t="s">
        <v>35</v>
      </c>
      <c r="C21" s="14" t="s">
        <v>36</v>
      </c>
      <c r="D21" s="14" t="s">
        <v>105</v>
      </c>
      <c r="E21" s="14" t="s">
        <v>106</v>
      </c>
      <c r="F21" s="14" t="s">
        <v>107</v>
      </c>
      <c r="G21" s="14" t="s">
        <v>108</v>
      </c>
      <c r="H21" s="14" t="s">
        <v>41</v>
      </c>
    </row>
    <row r="22" customFormat="false" ht="15" hidden="false" customHeight="true" outlineLevel="0" collapsed="false">
      <c r="A22" s="15" t="s">
        <v>109</v>
      </c>
      <c r="B22" s="15" t="s">
        <v>35</v>
      </c>
      <c r="C22" s="15" t="s">
        <v>36</v>
      </c>
      <c r="D22" s="15" t="s">
        <v>105</v>
      </c>
      <c r="E22" s="15" t="s">
        <v>110</v>
      </c>
      <c r="F22" s="15" t="s">
        <v>111</v>
      </c>
      <c r="G22" s="15" t="s">
        <v>112</v>
      </c>
      <c r="H22" s="15" t="s">
        <v>41</v>
      </c>
    </row>
    <row r="23" customFormat="false" ht="15" hidden="false" customHeight="true" outlineLevel="0" collapsed="false">
      <c r="A23" s="14" t="s">
        <v>113</v>
      </c>
      <c r="B23" s="14" t="s">
        <v>35</v>
      </c>
      <c r="C23" s="14" t="s">
        <v>36</v>
      </c>
      <c r="D23" s="14" t="s">
        <v>105</v>
      </c>
      <c r="E23" s="14" t="s">
        <v>114</v>
      </c>
      <c r="F23" s="14" t="s">
        <v>115</v>
      </c>
      <c r="G23" s="14" t="s">
        <v>116</v>
      </c>
      <c r="H23" s="14" t="s">
        <v>41</v>
      </c>
    </row>
    <row r="24" customFormat="false" ht="15" hidden="false" customHeight="true" outlineLevel="0" collapsed="false">
      <c r="A24" s="15" t="s">
        <v>117</v>
      </c>
      <c r="B24" s="15" t="s">
        <v>35</v>
      </c>
      <c r="C24" s="15" t="s">
        <v>36</v>
      </c>
      <c r="D24" s="15" t="s">
        <v>105</v>
      </c>
      <c r="E24" s="15" t="s">
        <v>118</v>
      </c>
      <c r="F24" s="15" t="s">
        <v>119</v>
      </c>
      <c r="G24" s="15" t="s">
        <v>120</v>
      </c>
      <c r="H24" s="15" t="s">
        <v>41</v>
      </c>
    </row>
    <row r="25" customFormat="false" ht="15" hidden="false" customHeight="true" outlineLevel="0" collapsed="false">
      <c r="A25" s="14" t="s">
        <v>121</v>
      </c>
      <c r="B25" s="14" t="s">
        <v>35</v>
      </c>
      <c r="C25" s="14" t="s">
        <v>36</v>
      </c>
      <c r="D25" s="14" t="s">
        <v>105</v>
      </c>
      <c r="E25" s="14" t="s">
        <v>122</v>
      </c>
      <c r="F25" s="14" t="s">
        <v>123</v>
      </c>
      <c r="G25" s="14" t="s">
        <v>124</v>
      </c>
      <c r="H25" s="14" t="s">
        <v>41</v>
      </c>
    </row>
    <row r="26" customFormat="false" ht="15" hidden="false" customHeight="true" outlineLevel="0" collapsed="false">
      <c r="A26" s="15" t="s">
        <v>125</v>
      </c>
      <c r="B26" s="15" t="s">
        <v>35</v>
      </c>
      <c r="C26" s="15" t="s">
        <v>36</v>
      </c>
      <c r="D26" s="15" t="s">
        <v>126</v>
      </c>
      <c r="E26" s="15" t="s">
        <v>127</v>
      </c>
      <c r="F26" s="15" t="s">
        <v>128</v>
      </c>
      <c r="G26" s="15" t="s">
        <v>129</v>
      </c>
      <c r="H26" s="15" t="s">
        <v>41</v>
      </c>
    </row>
    <row r="27" customFormat="false" ht="15" hidden="false" customHeight="true" outlineLevel="0" collapsed="false">
      <c r="A27" s="14" t="s">
        <v>130</v>
      </c>
      <c r="B27" s="14" t="s">
        <v>35</v>
      </c>
      <c r="C27" s="14" t="s">
        <v>36</v>
      </c>
      <c r="D27" s="14" t="s">
        <v>131</v>
      </c>
      <c r="E27" s="14" t="s">
        <v>132</v>
      </c>
      <c r="F27" s="14" t="s">
        <v>133</v>
      </c>
      <c r="G27" s="14" t="s">
        <v>134</v>
      </c>
      <c r="H27" s="14" t="s">
        <v>41</v>
      </c>
    </row>
    <row r="28" customFormat="false" ht="15" hidden="false" customHeight="true" outlineLevel="0" collapsed="false">
      <c r="A28" s="15" t="s">
        <v>135</v>
      </c>
      <c r="B28" s="15" t="s">
        <v>35</v>
      </c>
      <c r="C28" s="15" t="s">
        <v>36</v>
      </c>
      <c r="D28" s="15" t="s">
        <v>131</v>
      </c>
      <c r="E28" s="15" t="s">
        <v>136</v>
      </c>
      <c r="F28" s="15" t="s">
        <v>137</v>
      </c>
      <c r="G28" s="15" t="s">
        <v>138</v>
      </c>
      <c r="H28" s="15" t="s">
        <v>41</v>
      </c>
    </row>
    <row r="29" customFormat="false" ht="15" hidden="false" customHeight="true" outlineLevel="0" collapsed="false">
      <c r="A29" s="14" t="s">
        <v>139</v>
      </c>
      <c r="B29" s="14" t="s">
        <v>35</v>
      </c>
      <c r="C29" s="14" t="s">
        <v>36</v>
      </c>
      <c r="D29" s="14" t="s">
        <v>131</v>
      </c>
      <c r="E29" s="14" t="s">
        <v>140</v>
      </c>
      <c r="F29" s="14" t="s">
        <v>141</v>
      </c>
      <c r="G29" s="14" t="s">
        <v>142</v>
      </c>
      <c r="H29" s="14" t="s">
        <v>41</v>
      </c>
    </row>
    <row r="30" customFormat="false" ht="15" hidden="false" customHeight="true" outlineLevel="0" collapsed="false">
      <c r="A30" s="15" t="s">
        <v>143</v>
      </c>
      <c r="B30" s="15" t="s">
        <v>35</v>
      </c>
      <c r="C30" s="15" t="s">
        <v>36</v>
      </c>
      <c r="D30" s="15" t="s">
        <v>131</v>
      </c>
      <c r="E30" s="15" t="s">
        <v>144</v>
      </c>
      <c r="F30" s="15" t="s">
        <v>145</v>
      </c>
      <c r="G30" s="15" t="s">
        <v>146</v>
      </c>
      <c r="H30" s="15" t="s">
        <v>41</v>
      </c>
    </row>
    <row r="31" customFormat="false" ht="15" hidden="false" customHeight="true" outlineLevel="0" collapsed="false">
      <c r="A31" s="14" t="s">
        <v>147</v>
      </c>
      <c r="B31" s="14" t="s">
        <v>35</v>
      </c>
      <c r="C31" s="14" t="s">
        <v>36</v>
      </c>
      <c r="D31" s="14" t="s">
        <v>131</v>
      </c>
      <c r="E31" s="14" t="s">
        <v>148</v>
      </c>
      <c r="F31" s="14" t="s">
        <v>149</v>
      </c>
      <c r="G31" s="14" t="s">
        <v>150</v>
      </c>
      <c r="H31" s="14" t="s">
        <v>41</v>
      </c>
    </row>
    <row r="32" customFormat="false" ht="15" hidden="false" customHeight="true" outlineLevel="0" collapsed="false">
      <c r="A32" s="15" t="s">
        <v>151</v>
      </c>
      <c r="B32" s="15" t="s">
        <v>35</v>
      </c>
      <c r="C32" s="15" t="s">
        <v>36</v>
      </c>
      <c r="D32" s="15" t="s">
        <v>152</v>
      </c>
      <c r="E32" s="15" t="s">
        <v>153</v>
      </c>
      <c r="F32" s="15" t="s">
        <v>154</v>
      </c>
      <c r="G32" s="15" t="s">
        <v>155</v>
      </c>
      <c r="H32" s="15" t="s">
        <v>41</v>
      </c>
    </row>
    <row r="33" customFormat="false" ht="15" hidden="false" customHeight="true" outlineLevel="0" collapsed="false">
      <c r="A33" s="14" t="s">
        <v>156</v>
      </c>
      <c r="B33" s="14" t="s">
        <v>35</v>
      </c>
      <c r="C33" s="14" t="s">
        <v>36</v>
      </c>
      <c r="D33" s="14" t="s">
        <v>152</v>
      </c>
      <c r="E33" s="14" t="s">
        <v>157</v>
      </c>
      <c r="F33" s="14" t="s">
        <v>158</v>
      </c>
      <c r="G33" s="14" t="s">
        <v>159</v>
      </c>
      <c r="H33" s="14" t="s">
        <v>41</v>
      </c>
    </row>
    <row r="34" customFormat="false" ht="15" hidden="false" customHeight="true" outlineLevel="0" collapsed="false">
      <c r="A34" s="15" t="s">
        <v>160</v>
      </c>
      <c r="B34" s="15" t="s">
        <v>35</v>
      </c>
      <c r="C34" s="15" t="s">
        <v>36</v>
      </c>
      <c r="D34" s="15" t="s">
        <v>152</v>
      </c>
      <c r="E34" s="15" t="s">
        <v>161</v>
      </c>
      <c r="F34" s="15" t="s">
        <v>162</v>
      </c>
      <c r="G34" s="15" t="s">
        <v>163</v>
      </c>
      <c r="H34" s="15" t="s">
        <v>41</v>
      </c>
    </row>
    <row r="35" customFormat="false" ht="15" hidden="false" customHeight="true" outlineLevel="0" collapsed="false">
      <c r="A35" s="14" t="s">
        <v>164</v>
      </c>
      <c r="B35" s="14" t="s">
        <v>35</v>
      </c>
      <c r="C35" s="14" t="s">
        <v>36</v>
      </c>
      <c r="D35" s="14" t="s">
        <v>152</v>
      </c>
      <c r="E35" s="14" t="s">
        <v>165</v>
      </c>
      <c r="F35" s="14" t="s">
        <v>166</v>
      </c>
      <c r="G35" s="14" t="s">
        <v>167</v>
      </c>
      <c r="H35" s="14" t="s">
        <v>41</v>
      </c>
    </row>
    <row r="36" customFormat="false" ht="15" hidden="false" customHeight="true" outlineLevel="0" collapsed="false">
      <c r="A36" s="15" t="s">
        <v>168</v>
      </c>
      <c r="B36" s="15" t="s">
        <v>35</v>
      </c>
      <c r="C36" s="15" t="s">
        <v>36</v>
      </c>
      <c r="D36" s="15" t="s">
        <v>169</v>
      </c>
      <c r="E36" s="15" t="s">
        <v>170</v>
      </c>
      <c r="F36" s="15" t="s">
        <v>171</v>
      </c>
      <c r="G36" s="15" t="s">
        <v>172</v>
      </c>
      <c r="H36" s="15" t="s">
        <v>41</v>
      </c>
    </row>
    <row r="37" customFormat="false" ht="15" hidden="false" customHeight="true" outlineLevel="0" collapsed="false">
      <c r="A37" s="14" t="s">
        <v>173</v>
      </c>
      <c r="B37" s="14" t="s">
        <v>35</v>
      </c>
      <c r="C37" s="14" t="s">
        <v>36</v>
      </c>
      <c r="D37" s="14" t="s">
        <v>169</v>
      </c>
      <c r="E37" s="14" t="s">
        <v>174</v>
      </c>
      <c r="F37" s="14" t="s">
        <v>175</v>
      </c>
      <c r="G37" s="14" t="s">
        <v>176</v>
      </c>
      <c r="H37" s="14" t="s">
        <v>41</v>
      </c>
    </row>
    <row r="38" customFormat="false" ht="15" hidden="false" customHeight="true" outlineLevel="0" collapsed="false">
      <c r="A38" s="15" t="s">
        <v>177</v>
      </c>
      <c r="B38" s="15" t="s">
        <v>35</v>
      </c>
      <c r="C38" s="15" t="s">
        <v>36</v>
      </c>
      <c r="D38" s="15" t="s">
        <v>169</v>
      </c>
      <c r="E38" s="15" t="s">
        <v>178</v>
      </c>
      <c r="F38" s="15" t="s">
        <v>179</v>
      </c>
      <c r="G38" s="15" t="s">
        <v>180</v>
      </c>
      <c r="H38" s="15" t="s">
        <v>41</v>
      </c>
    </row>
    <row r="39" customFormat="false" ht="15" hidden="false" customHeight="true" outlineLevel="0" collapsed="false">
      <c r="A39" s="14" t="s">
        <v>181</v>
      </c>
      <c r="B39" s="14" t="s">
        <v>35</v>
      </c>
      <c r="C39" s="14" t="s">
        <v>36</v>
      </c>
      <c r="D39" s="14" t="s">
        <v>169</v>
      </c>
      <c r="E39" s="14" t="s">
        <v>182</v>
      </c>
      <c r="F39" s="14" t="s">
        <v>183</v>
      </c>
      <c r="G39" s="14" t="s">
        <v>184</v>
      </c>
      <c r="H39" s="14" t="s">
        <v>41</v>
      </c>
    </row>
    <row r="40" customFormat="false" ht="15" hidden="false" customHeight="true" outlineLevel="0" collapsed="false">
      <c r="A40" s="15" t="s">
        <v>185</v>
      </c>
      <c r="B40" s="15" t="s">
        <v>35</v>
      </c>
      <c r="C40" s="15" t="s">
        <v>186</v>
      </c>
      <c r="D40" s="15" t="s">
        <v>37</v>
      </c>
      <c r="E40" s="15" t="s">
        <v>187</v>
      </c>
      <c r="F40" s="15" t="s">
        <v>188</v>
      </c>
      <c r="G40" s="15" t="s">
        <v>189</v>
      </c>
      <c r="H40" s="15" t="s">
        <v>41</v>
      </c>
    </row>
    <row r="41" customFormat="false" ht="15" hidden="false" customHeight="true" outlineLevel="0" collapsed="false">
      <c r="A41" s="14" t="s">
        <v>190</v>
      </c>
      <c r="B41" s="14" t="s">
        <v>35</v>
      </c>
      <c r="C41" s="14" t="s">
        <v>186</v>
      </c>
      <c r="D41" s="14" t="s">
        <v>37</v>
      </c>
      <c r="E41" s="14" t="s">
        <v>191</v>
      </c>
      <c r="F41" s="14" t="s">
        <v>192</v>
      </c>
      <c r="G41" s="14" t="s">
        <v>193</v>
      </c>
      <c r="H41" s="14" t="s">
        <v>41</v>
      </c>
    </row>
    <row r="42" customFormat="false" ht="15" hidden="false" customHeight="true" outlineLevel="0" collapsed="false">
      <c r="A42" s="15" t="s">
        <v>194</v>
      </c>
      <c r="B42" s="15" t="s">
        <v>35</v>
      </c>
      <c r="C42" s="15" t="s">
        <v>186</v>
      </c>
      <c r="D42" s="15" t="s">
        <v>37</v>
      </c>
      <c r="E42" s="15" t="s">
        <v>195</v>
      </c>
      <c r="F42" s="15" t="s">
        <v>196</v>
      </c>
      <c r="G42" s="15" t="s">
        <v>197</v>
      </c>
      <c r="H42" s="15" t="s">
        <v>41</v>
      </c>
    </row>
    <row r="43" customFormat="false" ht="15" hidden="false" customHeight="true" outlineLevel="0" collapsed="false">
      <c r="A43" s="14" t="s">
        <v>198</v>
      </c>
      <c r="B43" s="14" t="s">
        <v>35</v>
      </c>
      <c r="C43" s="14" t="s">
        <v>186</v>
      </c>
      <c r="D43" s="14" t="s">
        <v>37</v>
      </c>
      <c r="E43" s="14" t="s">
        <v>199</v>
      </c>
      <c r="F43" s="14" t="s">
        <v>200</v>
      </c>
      <c r="G43" s="14" t="s">
        <v>201</v>
      </c>
      <c r="H43" s="14" t="s">
        <v>41</v>
      </c>
    </row>
    <row r="44" customFormat="false" ht="15" hidden="false" customHeight="true" outlineLevel="0" collapsed="false">
      <c r="A44" s="15" t="s">
        <v>202</v>
      </c>
      <c r="B44" s="15" t="s">
        <v>35</v>
      </c>
      <c r="C44" s="15" t="s">
        <v>186</v>
      </c>
      <c r="D44" s="15" t="s">
        <v>37</v>
      </c>
      <c r="E44" s="15" t="s">
        <v>203</v>
      </c>
      <c r="F44" s="15" t="s">
        <v>204</v>
      </c>
      <c r="G44" s="15" t="s">
        <v>205</v>
      </c>
      <c r="H44" s="15" t="s">
        <v>41</v>
      </c>
    </row>
    <row r="45" customFormat="false" ht="15" hidden="false" customHeight="true" outlineLevel="0" collapsed="false">
      <c r="A45" s="14" t="s">
        <v>206</v>
      </c>
      <c r="B45" s="14" t="s">
        <v>35</v>
      </c>
      <c r="C45" s="14" t="s">
        <v>186</v>
      </c>
      <c r="D45" s="14" t="s">
        <v>63</v>
      </c>
      <c r="E45" s="14" t="s">
        <v>207</v>
      </c>
      <c r="F45" s="14" t="s">
        <v>208</v>
      </c>
      <c r="G45" s="14" t="s">
        <v>209</v>
      </c>
      <c r="H45" s="14" t="s">
        <v>41</v>
      </c>
    </row>
    <row r="46" customFormat="false" ht="15" hidden="false" customHeight="true" outlineLevel="0" collapsed="false">
      <c r="A46" s="15" t="s">
        <v>210</v>
      </c>
      <c r="B46" s="15" t="s">
        <v>35</v>
      </c>
      <c r="C46" s="15" t="s">
        <v>186</v>
      </c>
      <c r="D46" s="15" t="s">
        <v>63</v>
      </c>
      <c r="E46" s="15" t="s">
        <v>211</v>
      </c>
      <c r="F46" s="15" t="s">
        <v>212</v>
      </c>
      <c r="G46" s="15" t="s">
        <v>213</v>
      </c>
      <c r="H46" s="15" t="s">
        <v>41</v>
      </c>
    </row>
    <row r="47" customFormat="false" ht="15" hidden="false" customHeight="true" outlineLevel="0" collapsed="false">
      <c r="A47" s="14" t="s">
        <v>214</v>
      </c>
      <c r="B47" s="14" t="s">
        <v>35</v>
      </c>
      <c r="C47" s="14" t="s">
        <v>186</v>
      </c>
      <c r="D47" s="14" t="s">
        <v>63</v>
      </c>
      <c r="E47" s="14" t="s">
        <v>215</v>
      </c>
      <c r="F47" s="14" t="s">
        <v>216</v>
      </c>
      <c r="G47" s="14" t="s">
        <v>217</v>
      </c>
      <c r="H47" s="14" t="s">
        <v>41</v>
      </c>
    </row>
    <row r="48" customFormat="false" ht="15" hidden="false" customHeight="true" outlineLevel="0" collapsed="false">
      <c r="A48" s="15" t="s">
        <v>218</v>
      </c>
      <c r="B48" s="15" t="s">
        <v>35</v>
      </c>
      <c r="C48" s="15" t="s">
        <v>186</v>
      </c>
      <c r="D48" s="15" t="s">
        <v>63</v>
      </c>
      <c r="E48" s="15" t="s">
        <v>219</v>
      </c>
      <c r="F48" s="15" t="s">
        <v>220</v>
      </c>
      <c r="G48" s="15" t="s">
        <v>221</v>
      </c>
      <c r="H48" s="15" t="s">
        <v>41</v>
      </c>
    </row>
    <row r="49" customFormat="false" ht="15" hidden="false" customHeight="true" outlineLevel="0" collapsed="false">
      <c r="A49" s="14" t="s">
        <v>222</v>
      </c>
      <c r="B49" s="14" t="s">
        <v>35</v>
      </c>
      <c r="C49" s="14" t="s">
        <v>186</v>
      </c>
      <c r="D49" s="14" t="s">
        <v>63</v>
      </c>
      <c r="E49" s="14" t="s">
        <v>223</v>
      </c>
      <c r="F49" s="14" t="s">
        <v>224</v>
      </c>
      <c r="G49" s="14" t="s">
        <v>225</v>
      </c>
      <c r="H49" s="14" t="s">
        <v>41</v>
      </c>
    </row>
    <row r="50" customFormat="false" ht="15" hidden="false" customHeight="true" outlineLevel="0" collapsed="false">
      <c r="A50" s="15" t="s">
        <v>226</v>
      </c>
      <c r="B50" s="15" t="s">
        <v>35</v>
      </c>
      <c r="C50" s="15" t="s">
        <v>186</v>
      </c>
      <c r="D50" s="15" t="s">
        <v>84</v>
      </c>
      <c r="E50" s="15" t="s">
        <v>227</v>
      </c>
      <c r="F50" s="15" t="s">
        <v>228</v>
      </c>
      <c r="G50" s="15" t="s">
        <v>229</v>
      </c>
      <c r="H50" s="15" t="s">
        <v>41</v>
      </c>
    </row>
    <row r="51" customFormat="false" ht="15" hidden="false" customHeight="true" outlineLevel="0" collapsed="false">
      <c r="A51" s="14" t="s">
        <v>230</v>
      </c>
      <c r="B51" s="14" t="s">
        <v>35</v>
      </c>
      <c r="C51" s="14" t="s">
        <v>186</v>
      </c>
      <c r="D51" s="14" t="s">
        <v>84</v>
      </c>
      <c r="E51" s="14" t="s">
        <v>231</v>
      </c>
      <c r="F51" s="14" t="s">
        <v>232</v>
      </c>
      <c r="G51" s="14" t="s">
        <v>233</v>
      </c>
      <c r="H51" s="14" t="s">
        <v>41</v>
      </c>
    </row>
    <row r="52" customFormat="false" ht="15" hidden="false" customHeight="true" outlineLevel="0" collapsed="false">
      <c r="A52" s="15" t="s">
        <v>234</v>
      </c>
      <c r="B52" s="15" t="s">
        <v>35</v>
      </c>
      <c r="C52" s="15" t="s">
        <v>186</v>
      </c>
      <c r="D52" s="15" t="s">
        <v>84</v>
      </c>
      <c r="E52" s="15" t="s">
        <v>235</v>
      </c>
      <c r="F52" s="15" t="s">
        <v>236</v>
      </c>
      <c r="G52" s="15" t="s">
        <v>237</v>
      </c>
      <c r="H52" s="15" t="s">
        <v>41</v>
      </c>
    </row>
    <row r="53" customFormat="false" ht="15" hidden="false" customHeight="true" outlineLevel="0" collapsed="false">
      <c r="A53" s="14" t="s">
        <v>238</v>
      </c>
      <c r="B53" s="14" t="s">
        <v>35</v>
      </c>
      <c r="C53" s="14" t="s">
        <v>186</v>
      </c>
      <c r="D53" s="14" t="s">
        <v>84</v>
      </c>
      <c r="E53" s="14" t="s">
        <v>239</v>
      </c>
      <c r="F53" s="14" t="s">
        <v>240</v>
      </c>
      <c r="G53" s="14" t="s">
        <v>241</v>
      </c>
      <c r="H53" s="14" t="s">
        <v>41</v>
      </c>
    </row>
    <row r="54" customFormat="false" ht="15" hidden="false" customHeight="true" outlineLevel="0" collapsed="false">
      <c r="A54" s="15" t="s">
        <v>242</v>
      </c>
      <c r="B54" s="15" t="s">
        <v>35</v>
      </c>
      <c r="C54" s="15" t="s">
        <v>186</v>
      </c>
      <c r="D54" s="15" t="s">
        <v>105</v>
      </c>
      <c r="E54" s="15" t="s">
        <v>243</v>
      </c>
      <c r="F54" s="15" t="s">
        <v>244</v>
      </c>
      <c r="G54" s="15" t="s">
        <v>245</v>
      </c>
      <c r="H54" s="15" t="s">
        <v>41</v>
      </c>
    </row>
    <row r="55" customFormat="false" ht="15" hidden="false" customHeight="true" outlineLevel="0" collapsed="false">
      <c r="A55" s="14" t="s">
        <v>246</v>
      </c>
      <c r="B55" s="14" t="s">
        <v>35</v>
      </c>
      <c r="C55" s="14" t="s">
        <v>186</v>
      </c>
      <c r="D55" s="14" t="s">
        <v>105</v>
      </c>
      <c r="E55" s="14" t="s">
        <v>247</v>
      </c>
      <c r="F55" s="14" t="s">
        <v>248</v>
      </c>
      <c r="G55" s="14" t="s">
        <v>249</v>
      </c>
      <c r="H55" s="14" t="s">
        <v>41</v>
      </c>
    </row>
    <row r="56" customFormat="false" ht="15" hidden="false" customHeight="true" outlineLevel="0" collapsed="false">
      <c r="A56" s="15" t="s">
        <v>250</v>
      </c>
      <c r="B56" s="15" t="s">
        <v>35</v>
      </c>
      <c r="C56" s="15" t="s">
        <v>186</v>
      </c>
      <c r="D56" s="15" t="s">
        <v>105</v>
      </c>
      <c r="E56" s="15" t="s">
        <v>251</v>
      </c>
      <c r="F56" s="15" t="s">
        <v>252</v>
      </c>
      <c r="G56" s="15" t="s">
        <v>253</v>
      </c>
      <c r="H56" s="15" t="s">
        <v>41</v>
      </c>
    </row>
    <row r="57" customFormat="false" ht="15" hidden="false" customHeight="true" outlineLevel="0" collapsed="false">
      <c r="A57" s="14" t="s">
        <v>254</v>
      </c>
      <c r="B57" s="14" t="s">
        <v>35</v>
      </c>
      <c r="C57" s="14" t="s">
        <v>186</v>
      </c>
      <c r="D57" s="14" t="s">
        <v>105</v>
      </c>
      <c r="E57" s="14" t="s">
        <v>255</v>
      </c>
      <c r="F57" s="14" t="s">
        <v>256</v>
      </c>
      <c r="G57" s="14" t="s">
        <v>257</v>
      </c>
      <c r="H57" s="14" t="s">
        <v>41</v>
      </c>
    </row>
    <row r="58" customFormat="false" ht="15" hidden="false" customHeight="true" outlineLevel="0" collapsed="false">
      <c r="A58" s="15" t="s">
        <v>258</v>
      </c>
      <c r="B58" s="15" t="s">
        <v>35</v>
      </c>
      <c r="C58" s="15" t="s">
        <v>186</v>
      </c>
      <c r="D58" s="15" t="s">
        <v>105</v>
      </c>
      <c r="E58" s="15" t="s">
        <v>259</v>
      </c>
      <c r="F58" s="15" t="s">
        <v>260</v>
      </c>
      <c r="G58" s="15" t="s">
        <v>261</v>
      </c>
      <c r="H58" s="15" t="s">
        <v>41</v>
      </c>
    </row>
    <row r="59" customFormat="false" ht="15" hidden="false" customHeight="true" outlineLevel="0" collapsed="false">
      <c r="A59" s="14" t="s">
        <v>262</v>
      </c>
      <c r="B59" s="14" t="s">
        <v>35</v>
      </c>
      <c r="C59" s="14" t="s">
        <v>186</v>
      </c>
      <c r="D59" s="14" t="s">
        <v>263</v>
      </c>
      <c r="E59" s="14" t="s">
        <v>264</v>
      </c>
      <c r="F59" s="14" t="s">
        <v>265</v>
      </c>
      <c r="G59" s="14" t="s">
        <v>266</v>
      </c>
      <c r="H59" s="14" t="s">
        <v>41</v>
      </c>
    </row>
    <row r="60" customFormat="false" ht="15" hidden="false" customHeight="true" outlineLevel="0" collapsed="false">
      <c r="A60" s="15" t="s">
        <v>267</v>
      </c>
      <c r="B60" s="15" t="s">
        <v>35</v>
      </c>
      <c r="C60" s="15" t="s">
        <v>186</v>
      </c>
      <c r="D60" s="15" t="s">
        <v>131</v>
      </c>
      <c r="E60" s="15" t="s">
        <v>268</v>
      </c>
      <c r="F60" s="15" t="s">
        <v>269</v>
      </c>
      <c r="G60" s="15" t="s">
        <v>270</v>
      </c>
      <c r="H60" s="15" t="s">
        <v>41</v>
      </c>
    </row>
    <row r="61" customFormat="false" ht="15" hidden="false" customHeight="true" outlineLevel="0" collapsed="false">
      <c r="A61" s="14" t="s">
        <v>271</v>
      </c>
      <c r="B61" s="14" t="s">
        <v>35</v>
      </c>
      <c r="C61" s="14" t="s">
        <v>186</v>
      </c>
      <c r="D61" s="14" t="s">
        <v>131</v>
      </c>
      <c r="E61" s="14" t="s">
        <v>272</v>
      </c>
      <c r="F61" s="14" t="s">
        <v>273</v>
      </c>
      <c r="G61" s="14" t="s">
        <v>274</v>
      </c>
      <c r="H61" s="14" t="s">
        <v>41</v>
      </c>
    </row>
    <row r="62" customFormat="false" ht="15" hidden="false" customHeight="true" outlineLevel="0" collapsed="false">
      <c r="A62" s="15" t="s">
        <v>275</v>
      </c>
      <c r="B62" s="15" t="s">
        <v>35</v>
      </c>
      <c r="C62" s="15" t="s">
        <v>186</v>
      </c>
      <c r="D62" s="15" t="s">
        <v>131</v>
      </c>
      <c r="E62" s="15" t="s">
        <v>276</v>
      </c>
      <c r="F62" s="15" t="s">
        <v>277</v>
      </c>
      <c r="G62" s="15" t="s">
        <v>278</v>
      </c>
      <c r="H62" s="15" t="s">
        <v>41</v>
      </c>
    </row>
    <row r="63" customFormat="false" ht="15" hidden="false" customHeight="true" outlineLevel="0" collapsed="false">
      <c r="A63" s="14" t="s">
        <v>279</v>
      </c>
      <c r="B63" s="14" t="s">
        <v>35</v>
      </c>
      <c r="C63" s="14" t="s">
        <v>186</v>
      </c>
      <c r="D63" s="14" t="s">
        <v>131</v>
      </c>
      <c r="E63" s="14" t="s">
        <v>280</v>
      </c>
      <c r="F63" s="14" t="s">
        <v>281</v>
      </c>
      <c r="G63" s="14" t="s">
        <v>282</v>
      </c>
      <c r="H63" s="14" t="s">
        <v>41</v>
      </c>
    </row>
    <row r="64" customFormat="false" ht="15" hidden="false" customHeight="true" outlineLevel="0" collapsed="false">
      <c r="A64" s="15" t="s">
        <v>283</v>
      </c>
      <c r="B64" s="15" t="s">
        <v>35</v>
      </c>
      <c r="C64" s="15" t="s">
        <v>186</v>
      </c>
      <c r="D64" s="15" t="s">
        <v>152</v>
      </c>
      <c r="E64" s="15" t="s">
        <v>284</v>
      </c>
      <c r="F64" s="15" t="s">
        <v>285</v>
      </c>
      <c r="G64" s="15" t="s">
        <v>286</v>
      </c>
      <c r="H64" s="15" t="s">
        <v>41</v>
      </c>
    </row>
    <row r="65" customFormat="false" ht="22.35" hidden="false" customHeight="false" outlineLevel="0" collapsed="false">
      <c r="A65" s="16" t="s">
        <v>287</v>
      </c>
      <c r="B65" s="16" t="s">
        <v>35</v>
      </c>
      <c r="C65" s="16" t="s">
        <v>186</v>
      </c>
      <c r="D65" s="16" t="s">
        <v>152</v>
      </c>
      <c r="E65" s="16" t="s">
        <v>288</v>
      </c>
      <c r="F65" s="16" t="s">
        <v>289</v>
      </c>
      <c r="G65" s="16" t="s">
        <v>290</v>
      </c>
      <c r="H65" s="16" t="s">
        <v>41</v>
      </c>
    </row>
    <row r="66" customFormat="false" ht="22.35" hidden="false" customHeight="false" outlineLevel="0" collapsed="false">
      <c r="A66" s="17" t="s">
        <v>291</v>
      </c>
      <c r="B66" s="17" t="s">
        <v>35</v>
      </c>
      <c r="C66" s="17" t="s">
        <v>186</v>
      </c>
      <c r="D66" s="17" t="s">
        <v>152</v>
      </c>
      <c r="E66" s="17" t="s">
        <v>292</v>
      </c>
      <c r="F66" s="17" t="s">
        <v>293</v>
      </c>
      <c r="G66" s="17" t="s">
        <v>294</v>
      </c>
      <c r="H66" s="17" t="s">
        <v>41</v>
      </c>
    </row>
    <row r="67" customFormat="false" ht="22.35" hidden="false" customHeight="false" outlineLevel="0" collapsed="false">
      <c r="A67" s="16" t="s">
        <v>295</v>
      </c>
      <c r="B67" s="16" t="s">
        <v>35</v>
      </c>
      <c r="C67" s="16" t="s">
        <v>186</v>
      </c>
      <c r="D67" s="16" t="s">
        <v>152</v>
      </c>
      <c r="E67" s="16" t="s">
        <v>296</v>
      </c>
      <c r="F67" s="16" t="s">
        <v>297</v>
      </c>
      <c r="G67" s="16" t="s">
        <v>298</v>
      </c>
      <c r="H67" s="16" t="s">
        <v>41</v>
      </c>
    </row>
    <row r="68" customFormat="false" ht="22.35" hidden="false" customHeight="false" outlineLevel="0" collapsed="false">
      <c r="A68" s="17" t="s">
        <v>299</v>
      </c>
      <c r="B68" s="17" t="s">
        <v>35</v>
      </c>
      <c r="C68" s="17" t="s">
        <v>186</v>
      </c>
      <c r="D68" s="17" t="s">
        <v>169</v>
      </c>
      <c r="E68" s="17" t="s">
        <v>300</v>
      </c>
      <c r="F68" s="17" t="s">
        <v>301</v>
      </c>
      <c r="G68" s="17" t="s">
        <v>302</v>
      </c>
      <c r="H68" s="17" t="s">
        <v>41</v>
      </c>
    </row>
    <row r="69" customFormat="false" ht="22.35" hidden="false" customHeight="false" outlineLevel="0" collapsed="false">
      <c r="A69" s="16" t="s">
        <v>303</v>
      </c>
      <c r="B69" s="16" t="s">
        <v>35</v>
      </c>
      <c r="C69" s="16" t="s">
        <v>186</v>
      </c>
      <c r="D69" s="16" t="s">
        <v>169</v>
      </c>
      <c r="E69" s="16" t="s">
        <v>304</v>
      </c>
      <c r="F69" s="16" t="s">
        <v>305</v>
      </c>
      <c r="G69" s="16" t="s">
        <v>306</v>
      </c>
      <c r="H69" s="16" t="s">
        <v>41</v>
      </c>
    </row>
    <row r="70" customFormat="false" ht="32.8" hidden="false" customHeight="false" outlineLevel="0" collapsed="false">
      <c r="A70" s="17" t="s">
        <v>307</v>
      </c>
      <c r="B70" s="17" t="s">
        <v>35</v>
      </c>
      <c r="C70" s="17" t="s">
        <v>186</v>
      </c>
      <c r="D70" s="17" t="s">
        <v>169</v>
      </c>
      <c r="E70" s="17" t="s">
        <v>308</v>
      </c>
      <c r="F70" s="17" t="s">
        <v>309</v>
      </c>
      <c r="G70" s="17" t="s">
        <v>310</v>
      </c>
      <c r="H70" s="17" t="s">
        <v>41</v>
      </c>
    </row>
    <row r="71" customFormat="false" ht="22.35" hidden="false" customHeight="false" outlineLevel="0" collapsed="false">
      <c r="A71" s="16" t="s">
        <v>311</v>
      </c>
      <c r="B71" s="16" t="s">
        <v>35</v>
      </c>
      <c r="C71" s="16" t="s">
        <v>186</v>
      </c>
      <c r="D71" s="16" t="s">
        <v>169</v>
      </c>
      <c r="E71" s="16" t="s">
        <v>312</v>
      </c>
      <c r="F71" s="16" t="s">
        <v>313</v>
      </c>
      <c r="G71" s="16" t="s">
        <v>314</v>
      </c>
      <c r="H71" s="16" t="s">
        <v>41</v>
      </c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H5:H64" type="list">
      <formula1>"Pool,In triage,Survived → scored,Parked,Killed"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9"/>
    <col collapsed="false" customWidth="true" hidden="false" outlineLevel="0" max="5" min="5" style="1" width="8"/>
    <col collapsed="false" customWidth="true" hidden="false" outlineLevel="0" max="6" min="6" style="1" width="9"/>
    <col collapsed="false" customWidth="true" hidden="false" outlineLevel="0" max="8" min="7" style="1" width="10"/>
    <col collapsed="false" customWidth="true" hidden="false" outlineLevel="0" max="9" min="9" style="1" width="9"/>
    <col collapsed="false" customWidth="true" hidden="false" outlineLevel="0" max="10" min="10" style="1" width="8"/>
    <col collapsed="false" customWidth="true" hidden="false" outlineLevel="0" max="11" min="11" style="1" width="9"/>
    <col collapsed="false" customWidth="true" hidden="false" outlineLevel="0" max="12" min="12" style="1" width="8"/>
    <col collapsed="false" customWidth="true" hidden="false" outlineLevel="0" max="14" min="13" style="1" width="9"/>
    <col collapsed="false" customWidth="true" hidden="false" outlineLevel="0" max="15" min="15" style="1" width="24"/>
  </cols>
  <sheetData>
    <row r="1" customFormat="false" ht="17.25" hidden="false" customHeight="true" outlineLevel="0" collapsed="false">
      <c r="A1" s="2" t="s">
        <v>315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true" outlineLevel="0" collapsed="false">
      <c r="A2" s="12" t="s">
        <v>316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customFormat="false" ht="15" hidden="false" customHeight="true" outlineLevel="0" collapsed="false">
      <c r="C3" s="10" t="s">
        <v>317</v>
      </c>
      <c r="D3" s="18" t="n">
        <v>20</v>
      </c>
      <c r="E3" s="18" t="n">
        <v>15</v>
      </c>
      <c r="F3" s="18" t="n">
        <v>15</v>
      </c>
      <c r="G3" s="18" t="n">
        <v>12</v>
      </c>
      <c r="H3" s="18" t="n">
        <v>12</v>
      </c>
      <c r="I3" s="18" t="n">
        <v>10</v>
      </c>
      <c r="J3" s="18" t="n">
        <v>8</v>
      </c>
      <c r="K3" s="18" t="n">
        <v>8</v>
      </c>
    </row>
    <row r="4" customFormat="false" ht="39.75" hidden="false" customHeight="true" outlineLevel="0" collapsed="false">
      <c r="A4" s="13" t="s">
        <v>318</v>
      </c>
      <c r="B4" s="13" t="s">
        <v>319</v>
      </c>
      <c r="C4" s="13" t="s">
        <v>320</v>
      </c>
      <c r="D4" s="13" t="s">
        <v>321</v>
      </c>
      <c r="E4" s="13" t="s">
        <v>322</v>
      </c>
      <c r="F4" s="13" t="s">
        <v>323</v>
      </c>
      <c r="G4" s="13" t="s">
        <v>324</v>
      </c>
      <c r="H4" s="13" t="s">
        <v>325</v>
      </c>
      <c r="I4" s="13" t="s">
        <v>326</v>
      </c>
      <c r="J4" s="13" t="s">
        <v>327</v>
      </c>
      <c r="K4" s="13" t="s">
        <v>328</v>
      </c>
      <c r="L4" s="13" t="s">
        <v>329</v>
      </c>
      <c r="M4" s="13" t="s">
        <v>330</v>
      </c>
      <c r="N4" s="13" t="s">
        <v>33</v>
      </c>
      <c r="O4" s="13" t="s">
        <v>331</v>
      </c>
    </row>
    <row r="5" customFormat="false" ht="15" hidden="false" customHeight="true" outlineLevel="0" collapsed="false">
      <c r="A5" s="19" t="s">
        <v>332</v>
      </c>
      <c r="B5" s="20" t="s">
        <v>333</v>
      </c>
      <c r="C5" s="19" t="s">
        <v>334</v>
      </c>
      <c r="D5" s="20" t="n">
        <v>4</v>
      </c>
      <c r="E5" s="20" t="n">
        <v>5</v>
      </c>
      <c r="F5" s="20" t="n">
        <v>4</v>
      </c>
      <c r="G5" s="20" t="n">
        <v>3</v>
      </c>
      <c r="H5" s="20" t="n">
        <v>4</v>
      </c>
      <c r="I5" s="20" t="n">
        <v>3</v>
      </c>
      <c r="J5" s="20" t="n">
        <v>4</v>
      </c>
      <c r="K5" s="20" t="n">
        <v>5</v>
      </c>
      <c r="L5" s="21" t="n">
        <f aca="false">IF(COUNT(D5:K5)=8,SUMPRODUCT(D5:K5,$D$3:$K$3)/5,"")</f>
        <v>80.2</v>
      </c>
      <c r="M5" s="20" t="s">
        <v>335</v>
      </c>
      <c r="N5" s="20" t="s">
        <v>336</v>
      </c>
      <c r="O5" s="19" t="s">
        <v>337</v>
      </c>
    </row>
    <row r="6" customFormat="false" ht="15" hidden="false" customHeight="true" outlineLevel="0" collapsed="false">
      <c r="A6" s="8"/>
      <c r="B6" s="22"/>
      <c r="C6" s="8"/>
      <c r="D6" s="22"/>
      <c r="E6" s="22"/>
      <c r="F6" s="22"/>
      <c r="G6" s="22"/>
      <c r="H6" s="22"/>
      <c r="I6" s="22"/>
      <c r="J6" s="22"/>
      <c r="K6" s="22"/>
      <c r="L6" s="23" t="str">
        <f aca="false">IF(COUNT(D6:K6)=8,SUMPRODUCT(D6:K6,$D$3:$K$3)/5,"")</f>
        <v/>
      </c>
      <c r="M6" s="22"/>
      <c r="N6" s="22"/>
      <c r="O6" s="8"/>
    </row>
    <row r="7" customFormat="false" ht="15" hidden="false" customHeight="true" outlineLevel="0" collapsed="false">
      <c r="A7" s="5"/>
      <c r="B7" s="24"/>
      <c r="C7" s="5"/>
      <c r="D7" s="24"/>
      <c r="E7" s="24"/>
      <c r="F7" s="24"/>
      <c r="G7" s="24"/>
      <c r="H7" s="24"/>
      <c r="I7" s="24"/>
      <c r="J7" s="24"/>
      <c r="K7" s="24"/>
      <c r="L7" s="25" t="str">
        <f aca="false">IF(COUNT(D7:K7)=8,SUMPRODUCT(D7:K7,$D$3:$K$3)/5,"")</f>
        <v/>
      </c>
      <c r="M7" s="24"/>
      <c r="N7" s="24"/>
      <c r="O7" s="5"/>
    </row>
    <row r="8" customFormat="false" ht="15" hidden="false" customHeight="true" outlineLevel="0" collapsed="false">
      <c r="A8" s="8"/>
      <c r="B8" s="22"/>
      <c r="C8" s="8"/>
      <c r="D8" s="22"/>
      <c r="E8" s="22"/>
      <c r="F8" s="22"/>
      <c r="G8" s="22"/>
      <c r="H8" s="22"/>
      <c r="I8" s="22"/>
      <c r="J8" s="22"/>
      <c r="K8" s="22"/>
      <c r="L8" s="23" t="str">
        <f aca="false">IF(COUNT(D8:K8)=8,SUMPRODUCT(D8:K8,$D$3:$K$3)/5,"")</f>
        <v/>
      </c>
      <c r="M8" s="22"/>
      <c r="N8" s="22"/>
      <c r="O8" s="8"/>
    </row>
    <row r="9" customFormat="false" ht="15" hidden="false" customHeight="true" outlineLevel="0" collapsed="false">
      <c r="A9" s="5"/>
      <c r="B9" s="24"/>
      <c r="C9" s="5"/>
      <c r="D9" s="24"/>
      <c r="E9" s="24"/>
      <c r="F9" s="24"/>
      <c r="G9" s="24"/>
      <c r="H9" s="24"/>
      <c r="I9" s="24"/>
      <c r="J9" s="24"/>
      <c r="K9" s="24"/>
      <c r="L9" s="25" t="str">
        <f aca="false">IF(COUNT(D9:K9)=8,SUMPRODUCT(D9:K9,$D$3:$K$3)/5,"")</f>
        <v/>
      </c>
      <c r="M9" s="24"/>
      <c r="N9" s="24"/>
      <c r="O9" s="5"/>
    </row>
    <row r="10" customFormat="false" ht="15" hidden="false" customHeight="true" outlineLevel="0" collapsed="false">
      <c r="A10" s="8"/>
      <c r="B10" s="22"/>
      <c r="C10" s="8"/>
      <c r="D10" s="22"/>
      <c r="E10" s="22"/>
      <c r="F10" s="22"/>
      <c r="G10" s="22"/>
      <c r="H10" s="22"/>
      <c r="I10" s="22"/>
      <c r="J10" s="22"/>
      <c r="K10" s="22"/>
      <c r="L10" s="23" t="str">
        <f aca="false">IF(COUNT(D10:K10)=8,SUMPRODUCT(D10:K10,$D$3:$K$3)/5,"")</f>
        <v/>
      </c>
      <c r="M10" s="22"/>
      <c r="N10" s="22"/>
      <c r="O10" s="8"/>
    </row>
    <row r="11" customFormat="false" ht="15" hidden="false" customHeight="true" outlineLevel="0" collapsed="false">
      <c r="A11" s="5"/>
      <c r="B11" s="24"/>
      <c r="C11" s="5"/>
      <c r="D11" s="24"/>
      <c r="E11" s="24"/>
      <c r="F11" s="24"/>
      <c r="G11" s="24"/>
      <c r="H11" s="24"/>
      <c r="I11" s="24"/>
      <c r="J11" s="24"/>
      <c r="K11" s="24"/>
      <c r="L11" s="25" t="str">
        <f aca="false">IF(COUNT(D11:K11)=8,SUMPRODUCT(D11:K11,$D$3:$K$3)/5,"")</f>
        <v/>
      </c>
      <c r="M11" s="24"/>
      <c r="N11" s="24"/>
      <c r="O11" s="5"/>
    </row>
    <row r="12" customFormat="false" ht="15" hidden="false" customHeight="true" outlineLevel="0" collapsed="false">
      <c r="A12" s="8"/>
      <c r="B12" s="22"/>
      <c r="C12" s="8"/>
      <c r="D12" s="22"/>
      <c r="E12" s="22"/>
      <c r="F12" s="22"/>
      <c r="G12" s="22"/>
      <c r="H12" s="22"/>
      <c r="I12" s="22"/>
      <c r="J12" s="22"/>
      <c r="K12" s="22"/>
      <c r="L12" s="23" t="str">
        <f aca="false">IF(COUNT(D12:K12)=8,SUMPRODUCT(D12:K12,$D$3:$K$3)/5,"")</f>
        <v/>
      </c>
      <c r="M12" s="22"/>
      <c r="N12" s="22"/>
      <c r="O12" s="8"/>
    </row>
    <row r="13" customFormat="false" ht="15" hidden="false" customHeight="true" outlineLevel="0" collapsed="false">
      <c r="A13" s="5"/>
      <c r="B13" s="24"/>
      <c r="C13" s="5"/>
      <c r="D13" s="24"/>
      <c r="E13" s="24"/>
      <c r="F13" s="24"/>
      <c r="G13" s="24"/>
      <c r="H13" s="24"/>
      <c r="I13" s="24"/>
      <c r="J13" s="24"/>
      <c r="K13" s="24"/>
      <c r="L13" s="25" t="str">
        <f aca="false">IF(COUNT(D13:K13)=8,SUMPRODUCT(D13:K13,$D$3:$K$3)/5,"")</f>
        <v/>
      </c>
      <c r="M13" s="24"/>
      <c r="N13" s="24"/>
      <c r="O13" s="5"/>
    </row>
    <row r="14" customFormat="false" ht="15" hidden="false" customHeight="true" outlineLevel="0" collapsed="false">
      <c r="A14" s="8"/>
      <c r="B14" s="22"/>
      <c r="C14" s="8"/>
      <c r="D14" s="22"/>
      <c r="E14" s="22"/>
      <c r="F14" s="22"/>
      <c r="G14" s="22"/>
      <c r="H14" s="22"/>
      <c r="I14" s="22"/>
      <c r="J14" s="22"/>
      <c r="K14" s="22"/>
      <c r="L14" s="23" t="str">
        <f aca="false">IF(COUNT(D14:K14)=8,SUMPRODUCT(D14:K14,$D$3:$K$3)/5,"")</f>
        <v/>
      </c>
      <c r="M14" s="22"/>
      <c r="N14" s="22"/>
      <c r="O14" s="8"/>
    </row>
    <row r="15" customFormat="false" ht="15" hidden="false" customHeight="true" outlineLevel="0" collapsed="false">
      <c r="A15" s="5"/>
      <c r="B15" s="24"/>
      <c r="C15" s="5"/>
      <c r="D15" s="24"/>
      <c r="E15" s="24"/>
      <c r="F15" s="24"/>
      <c r="G15" s="24"/>
      <c r="H15" s="24"/>
      <c r="I15" s="24"/>
      <c r="J15" s="24"/>
      <c r="K15" s="24"/>
      <c r="L15" s="25" t="str">
        <f aca="false">IF(COUNT(D15:K15)=8,SUMPRODUCT(D15:K15,$D$3:$K$3)/5,"")</f>
        <v/>
      </c>
      <c r="M15" s="24"/>
      <c r="N15" s="24"/>
      <c r="O15" s="5"/>
    </row>
    <row r="16" customFormat="false" ht="15" hidden="false" customHeight="true" outlineLevel="0" collapsed="false">
      <c r="A16" s="8"/>
      <c r="B16" s="22"/>
      <c r="C16" s="8"/>
      <c r="D16" s="22"/>
      <c r="E16" s="22"/>
      <c r="F16" s="22"/>
      <c r="G16" s="22"/>
      <c r="H16" s="22"/>
      <c r="I16" s="22"/>
      <c r="J16" s="22"/>
      <c r="K16" s="22"/>
      <c r="L16" s="23" t="str">
        <f aca="false">IF(COUNT(D16:K16)=8,SUMPRODUCT(D16:K16,$D$3:$K$3)/5,"")</f>
        <v/>
      </c>
      <c r="M16" s="22"/>
      <c r="N16" s="22"/>
      <c r="O16" s="8"/>
    </row>
    <row r="17" customFormat="false" ht="15" hidden="false" customHeight="true" outlineLevel="0" collapsed="false">
      <c r="A17" s="5"/>
      <c r="B17" s="24"/>
      <c r="C17" s="5"/>
      <c r="D17" s="24"/>
      <c r="E17" s="24"/>
      <c r="F17" s="24"/>
      <c r="G17" s="24"/>
      <c r="H17" s="24"/>
      <c r="I17" s="24"/>
      <c r="J17" s="24"/>
      <c r="K17" s="24"/>
      <c r="L17" s="25" t="str">
        <f aca="false">IF(COUNT(D17:K17)=8,SUMPRODUCT(D17:K17,$D$3:$K$3)/5,"")</f>
        <v/>
      </c>
      <c r="M17" s="24"/>
      <c r="N17" s="24"/>
      <c r="O17" s="5"/>
    </row>
    <row r="18" customFormat="false" ht="15" hidden="false" customHeight="true" outlineLevel="0" collapsed="false">
      <c r="A18" s="8"/>
      <c r="B18" s="22"/>
      <c r="C18" s="8"/>
      <c r="D18" s="22"/>
      <c r="E18" s="22"/>
      <c r="F18" s="22"/>
      <c r="G18" s="22"/>
      <c r="H18" s="22"/>
      <c r="I18" s="22"/>
      <c r="J18" s="22"/>
      <c r="K18" s="22"/>
      <c r="L18" s="23" t="str">
        <f aca="false">IF(COUNT(D18:K18)=8,SUMPRODUCT(D18:K18,$D$3:$K$3)/5,"")</f>
        <v/>
      </c>
      <c r="M18" s="22"/>
      <c r="N18" s="22"/>
      <c r="O18" s="8"/>
    </row>
    <row r="19" customFormat="false" ht="15" hidden="false" customHeight="true" outlineLevel="0" collapsed="false">
      <c r="A19" s="5"/>
      <c r="B19" s="24"/>
      <c r="C19" s="5"/>
      <c r="D19" s="24"/>
      <c r="E19" s="24"/>
      <c r="F19" s="24"/>
      <c r="G19" s="24"/>
      <c r="H19" s="24"/>
      <c r="I19" s="24"/>
      <c r="J19" s="24"/>
      <c r="K19" s="24"/>
      <c r="L19" s="25" t="str">
        <f aca="false">IF(COUNT(D19:K19)=8,SUMPRODUCT(D19:K19,$D$3:$K$3)/5,"")</f>
        <v/>
      </c>
      <c r="M19" s="24"/>
      <c r="N19" s="24"/>
      <c r="O19" s="5"/>
    </row>
    <row r="20" customFormat="false" ht="15" hidden="false" customHeight="true" outlineLevel="0" collapsed="false">
      <c r="A20" s="8"/>
      <c r="B20" s="22"/>
      <c r="C20" s="8"/>
      <c r="D20" s="22"/>
      <c r="E20" s="22"/>
      <c r="F20" s="22"/>
      <c r="G20" s="22"/>
      <c r="H20" s="22"/>
      <c r="I20" s="22"/>
      <c r="J20" s="22"/>
      <c r="K20" s="22"/>
      <c r="L20" s="23" t="str">
        <f aca="false">IF(COUNT(D20:K20)=8,SUMPRODUCT(D20:K20,$D$3:$K$3)/5,"")</f>
        <v/>
      </c>
      <c r="M20" s="22"/>
      <c r="N20" s="22"/>
      <c r="O20" s="8"/>
    </row>
    <row r="21" customFormat="false" ht="15" hidden="false" customHeight="true" outlineLevel="0" collapsed="false">
      <c r="A21" s="5"/>
      <c r="B21" s="24"/>
      <c r="C21" s="5"/>
      <c r="D21" s="24"/>
      <c r="E21" s="24"/>
      <c r="F21" s="24"/>
      <c r="G21" s="24"/>
      <c r="H21" s="24"/>
      <c r="I21" s="24"/>
      <c r="J21" s="24"/>
      <c r="K21" s="24"/>
      <c r="L21" s="25" t="str">
        <f aca="false">IF(COUNT(D21:K21)=8,SUMPRODUCT(D21:K21,$D$3:$K$3)/5,"")</f>
        <v/>
      </c>
      <c r="M21" s="24"/>
      <c r="N21" s="24"/>
      <c r="O21" s="5"/>
    </row>
    <row r="22" customFormat="false" ht="15" hidden="false" customHeight="true" outlineLevel="0" collapsed="false">
      <c r="A22" s="8"/>
      <c r="B22" s="22"/>
      <c r="C22" s="8"/>
      <c r="D22" s="22"/>
      <c r="E22" s="22"/>
      <c r="F22" s="22"/>
      <c r="G22" s="22"/>
      <c r="H22" s="22"/>
      <c r="I22" s="22"/>
      <c r="J22" s="22"/>
      <c r="K22" s="22"/>
      <c r="L22" s="23" t="str">
        <f aca="false">IF(COUNT(D22:K22)=8,SUMPRODUCT(D22:K22,$D$3:$K$3)/5,"")</f>
        <v/>
      </c>
      <c r="M22" s="22"/>
      <c r="N22" s="22"/>
      <c r="O22" s="8"/>
    </row>
    <row r="23" customFormat="false" ht="15" hidden="false" customHeight="true" outlineLevel="0" collapsed="false">
      <c r="A23" s="5"/>
      <c r="B23" s="24"/>
      <c r="C23" s="5"/>
      <c r="D23" s="24"/>
      <c r="E23" s="24"/>
      <c r="F23" s="24"/>
      <c r="G23" s="24"/>
      <c r="H23" s="24"/>
      <c r="I23" s="24"/>
      <c r="J23" s="24"/>
      <c r="K23" s="24"/>
      <c r="L23" s="25" t="str">
        <f aca="false">IF(COUNT(D23:K23)=8,SUMPRODUCT(D23:K23,$D$3:$K$3)/5,"")</f>
        <v/>
      </c>
      <c r="M23" s="24"/>
      <c r="N23" s="24"/>
      <c r="O23" s="5"/>
    </row>
    <row r="24" customFormat="false" ht="15" hidden="false" customHeight="true" outlineLevel="0" collapsed="false">
      <c r="A24" s="8"/>
      <c r="B24" s="22"/>
      <c r="C24" s="8"/>
      <c r="D24" s="22"/>
      <c r="E24" s="22"/>
      <c r="F24" s="22"/>
      <c r="G24" s="22"/>
      <c r="H24" s="22"/>
      <c r="I24" s="22"/>
      <c r="J24" s="22"/>
      <c r="K24" s="22"/>
      <c r="L24" s="23" t="str">
        <f aca="false">IF(COUNT(D24:K24)=8,SUMPRODUCT(D24:K24,$D$3:$K$3)/5,"")</f>
        <v/>
      </c>
      <c r="M24" s="22"/>
      <c r="N24" s="22"/>
      <c r="O24" s="8"/>
    </row>
    <row r="25" customFormat="false" ht="15" hidden="false" customHeight="true" outlineLevel="0" collapsed="false">
      <c r="A25" s="5"/>
      <c r="B25" s="24"/>
      <c r="C25" s="5"/>
      <c r="D25" s="24"/>
      <c r="E25" s="24"/>
      <c r="F25" s="24"/>
      <c r="G25" s="24"/>
      <c r="H25" s="24"/>
      <c r="I25" s="24"/>
      <c r="J25" s="24"/>
      <c r="K25" s="24"/>
      <c r="L25" s="25" t="str">
        <f aca="false">IF(COUNT(D25:K25)=8,SUMPRODUCT(D25:K25,$D$3:$K$3)/5,"")</f>
        <v/>
      </c>
      <c r="M25" s="24"/>
      <c r="N25" s="24"/>
      <c r="O25" s="5"/>
    </row>
    <row r="26" customFormat="false" ht="15" hidden="false" customHeight="true" outlineLevel="0" collapsed="false">
      <c r="A26" s="8"/>
      <c r="B26" s="22"/>
      <c r="C26" s="8"/>
      <c r="D26" s="22"/>
      <c r="E26" s="22"/>
      <c r="F26" s="22"/>
      <c r="G26" s="22"/>
      <c r="H26" s="22"/>
      <c r="I26" s="22"/>
      <c r="J26" s="22"/>
      <c r="K26" s="22"/>
      <c r="L26" s="23" t="str">
        <f aca="false">IF(COUNT(D26:K26)=8,SUMPRODUCT(D26:K26,$D$3:$K$3)/5,"")</f>
        <v/>
      </c>
      <c r="M26" s="22"/>
      <c r="N26" s="22"/>
      <c r="O26" s="8"/>
    </row>
    <row r="27" customFormat="false" ht="15" hidden="false" customHeight="true" outlineLevel="0" collapsed="false">
      <c r="A27" s="5"/>
      <c r="B27" s="24"/>
      <c r="C27" s="5"/>
      <c r="D27" s="24"/>
      <c r="E27" s="24"/>
      <c r="F27" s="24"/>
      <c r="G27" s="24"/>
      <c r="H27" s="24"/>
      <c r="I27" s="24"/>
      <c r="J27" s="24"/>
      <c r="K27" s="24"/>
      <c r="L27" s="25" t="str">
        <f aca="false">IF(COUNT(D27:K27)=8,SUMPRODUCT(D27:K27,$D$3:$K$3)/5,"")</f>
        <v/>
      </c>
      <c r="M27" s="24"/>
      <c r="N27" s="24"/>
      <c r="O27" s="5"/>
    </row>
    <row r="28" customFormat="false" ht="15" hidden="false" customHeight="true" outlineLevel="0" collapsed="false">
      <c r="A28" s="8"/>
      <c r="B28" s="22"/>
      <c r="C28" s="8"/>
      <c r="D28" s="22"/>
      <c r="E28" s="22"/>
      <c r="F28" s="22"/>
      <c r="G28" s="22"/>
      <c r="H28" s="22"/>
      <c r="I28" s="22"/>
      <c r="J28" s="22"/>
      <c r="K28" s="22"/>
      <c r="L28" s="23" t="str">
        <f aca="false">IF(COUNT(D28:K28)=8,SUMPRODUCT(D28:K28,$D$3:$K$3)/5,"")</f>
        <v/>
      </c>
      <c r="M28" s="22"/>
      <c r="N28" s="22"/>
      <c r="O28" s="8"/>
    </row>
  </sheetData>
  <mergeCells count="2">
    <mergeCell ref="A1:O1"/>
    <mergeCell ref="A2:O2"/>
  </mergeCells>
  <conditionalFormatting sqref="L5:L28">
    <cfRule type="colorScale" priority="2">
      <colorScale>
        <cfvo type="num" val="40"/>
        <cfvo type="num" val="70"/>
        <cfvo type="num" val="100"/>
        <color rgb="FFF8696B"/>
        <color rgb="FFFFEB84"/>
        <color rgb="FF63BE7B"/>
      </colorScale>
    </cfRule>
  </conditionalFormatting>
  <dataValidations count="3">
    <dataValidation allowBlank="true" errorStyle="stop" operator="between" showDropDown="false" showErrorMessage="false" showInputMessage="false" sqref="D5:K28" type="whole">
      <formula1>1</formula1>
      <formula2>5</formula2>
    </dataValidation>
    <dataValidation allowBlank="true" errorStyle="stop" operator="between" showDropDown="false" showErrorMessage="false" showInputMessage="false" sqref="N5:N28" type="list">
      <formula1>"Promote,Park,Kill"</formula1>
      <formula2>0</formula2>
    </dataValidation>
    <dataValidation allowBlank="true" errorStyle="stop" operator="between" showDropDown="false" showErrorMessage="false" showInputMessage="false" sqref="M5:M28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2026-06-26T23:03:58Z</dcterms:created>
  <dc:creator>openpyxl</dc:creator>
  <dc:description/>
  <dc:language>en-US</dc:language>
  <cp:lastModifiedBy/>
  <dcterms:modified xsi:type="dcterms:W3CDTF">2026-07-19T07:03:40Z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