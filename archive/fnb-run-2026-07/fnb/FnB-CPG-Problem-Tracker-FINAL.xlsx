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S" sheetId="1" state="visible" r:id="rId3"/>
    <sheet name="Impact Ranking" sheetId="2" state="visible" r:id="rId4"/>
    <sheet name="DeepDive India" sheetId="3" state="visible" r:id="rId5"/>
    <sheet name="DeepDive US" sheetId="4" state="visible" r:id="rId6"/>
    <sheet name="Inventory" sheetId="5" state="visible" r:id="rId7"/>
    <sheet name="Tracker" sheetId="6" state="visible" r:id="rId8"/>
    <sheet name="Rubric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<sst xmlns="http://schemas.openxmlformats.org/spreadsheetml/2006/main" count="1936" uniqueCount="937">
  <si>
    <t xml:space="preserve">VERDICTS — impact-weighted (current weights), evidence from 16-arena deep-dive research (Jul 2026)</t>
  </si>
  <si>
    <t xml:space="preserve">Interview-eligible candidates ranked by impact score. Full analysis per problem in DeepDive tabs; full ranked list in Impact Ranking tab.</t>
  </si>
  <si>
    <t xml:space="preserve">ID</t>
  </si>
  <si>
    <t xml:space="preserve">Geo</t>
  </si>
  <si>
    <t xml:space="preserve">Candidate</t>
  </si>
  <si>
    <t xml:space="preserve">Score</t>
  </si>
  <si>
    <t xml:space="preserve">Status / next test</t>
  </si>
  <si>
    <t xml:space="preserve">S5-IN-01</t>
  </si>
  <si>
    <t xml:space="preserve">India</t>
  </si>
  <si>
    <t xml:space="preserve">Distributor-side cross-brand scheme/claims settlement</t>
  </si>
  <si>
    <t xml:space="preserve">Interview: distributors' WTP; counter-position vs brand-side DMS.</t>
  </si>
  <si>
    <t xml:space="preserve">S7-US-03</t>
  </si>
  <si>
    <t xml:space="preserve">US</t>
  </si>
  <si>
    <t xml:space="preserve">Label-integrity control tower (formula↔artwork↔line sync)</t>
  </si>
  <si>
    <t xml:space="preserve">Interview: will mid-market QA buy orchestration vs another point tool.</t>
  </si>
  <si>
    <t xml:space="preserve">S5-IN-03</t>
  </si>
  <si>
    <t xml:space="preserve">Cross-channel MOP price-integrity monitoring</t>
  </si>
  <si>
    <t xml:space="preserve">Interview: GT price-capture feasibility/accuracy.</t>
  </si>
  <si>
    <t xml:space="preserve">S7-IN-01</t>
  </si>
  <si>
    <t xml:space="preserve">Batch/expiry visibility &amp; compliance at retail edge</t>
  </si>
  <si>
    <t xml:space="preserve">Interview: PickQuick coverage; platform data access.</t>
  </si>
  <si>
    <t xml:space="preserve">S4-IN-05</t>
  </si>
  <si>
    <t xml:space="preserve">Fresh-flow planning for brands into q-commerce</t>
  </si>
  <si>
    <t xml:space="preserve">Interview: brands' WTP for channel-specific planning. Bundle w/ S7-IN-01.</t>
  </si>
  <si>
    <t xml:space="preserve">S2-IN-01</t>
  </si>
  <si>
    <t xml:space="preserve">Contract-manufacturing capacity marketplace + QA layer</t>
  </si>
  <si>
    <t xml:space="preserve">Interview: match frequency; disintermediation; bundle S2-IN-02/-05.</t>
  </si>
  <si>
    <t xml:space="preserve">S2-US-01</t>
  </si>
  <si>
    <t xml:space="preserve">Plant line-staffing at mid-market perishable plants</t>
  </si>
  <si>
    <t xml:space="preserve">Pre-condition: find a wedge vs Veryable/Traba/RaaS before interviews.</t>
  </si>
  <si>
    <t xml:space="preserve">S5-IN-04</t>
  </si>
  <si>
    <t xml:space="preserve">Expansion intelligence for regional brands</t>
  </si>
  <si>
    <t xml:space="preserve">Interview: pay for intelligence vs cheap SFA seats.</t>
  </si>
  <si>
    <t xml:space="preserve">S5-IN-02</t>
  </si>
  <si>
    <t xml:space="preserve">Distributor working-capital compression</t>
  </si>
  <si>
    <t xml:space="preserve">GATED: NBFC license/capital. Data-layer partnership only.</t>
  </si>
  <si>
    <t xml:space="preserve">S2-US-04</t>
  </si>
  <si>
    <t xml:space="preserve">Reformulation execution program layer</t>
  </si>
  <si>
    <t xml:space="preserve">Services-shaped; assess as consulting wedge only.</t>
  </si>
  <si>
    <t xml:space="preserve">S5-IN-05 + S7-IN-02</t>
  </si>
  <si>
    <t xml:space="preserve">Returns integrity &amp; certified destruction network</t>
  </si>
  <si>
    <t xml:space="preserve">Interview jointly with S5-IN-01 (same rails).</t>
  </si>
  <si>
    <t xml:space="preserve">TALLY (67): 11 interview-eligible above · ~27 parked · ~29 killed on evidence. Evidence-gated problems stay gated regardless of weights (Afresh, ReposiTrak, Recykal, Celcius, TraceGains, Specright, Confido/TrewUp, Trax/FORM, licenses).</t>
  </si>
  <si>
    <t xml:space="preserve">IMPACT RANKING — all 67 problems, current weights (Sev 20 · WN 15 · WTP 15 · Mkt 15 · WS 12 · Moat 10 · Spd 8 · FMF 5)</t>
  </si>
  <si>
    <t xml:space="preserve">Underlying evidence: see DeepDive India / DeepDive US (7 blocks per problem). 'Evidence gate' = verdict rests on researched competition/capital/license facts unaffected by scoring weights.</t>
  </si>
  <si>
    <t xml:space="preserve">Rank</t>
  </si>
  <si>
    <t xml:space="preserve">Step</t>
  </si>
  <si>
    <t xml:space="preserve">Problem (statement)</t>
  </si>
  <si>
    <t xml:space="preserve">Impact score</t>
  </si>
  <si>
    <t xml:space="preserve">Deep-dive verdict</t>
  </si>
  <si>
    <t xml:space="preserve">Evidence gate?</t>
  </si>
  <si>
    <t xml:space="preserve">5 · Distribution &amp; wholesale</t>
  </si>
  <si>
    <t xml:space="preserve">For distributors (and brand commercial teams), tracking scheme eligibility, filing claims and collecting settlements fails; they cope with Excel + email + disputes over 30-90 day cycles, costing 0.5-1.5% of revenue in unclaimed incentives on 3-15% gross margins.</t>
  </si>
  <si>
    <t xml:space="preserve">ADVANCE (rank 3)</t>
  </si>
  <si>
    <t xml:space="preserve">7 · Consumer, returns &amp; waste</t>
  </si>
  <si>
    <t xml:space="preserve">For QA/regulatory at (esp. co-packed, multi-line) manufacturers, ensuring the physical package matches the formula fails routinely - labeling errors drive 71.1% of allergen recalls (46% of all recalls), avg ~$10M/incident; coping = manual checks + point tools.</t>
  </si>
  <si>
    <t xml:space="preserve">ADVANCE (US rank 1, conditional)</t>
  </si>
  <si>
    <t xml:space="preserve">For brand sales leadership, maintaining MOP parity across GT/MT/e-com/q-com fails; they cope with screenshots and distributor complaints, costing GT erosion (25-30% monthly declines in worst stretch), compensation demands and equity damage.</t>
  </si>
  <si>
    <t xml:space="preserve">ADVANCE (rank 4)</t>
  </si>
  <si>
    <t xml:space="preserve">For q-com platforms and brands under the FSSAI 30%-shelf-life/45-day rule, tracking remaining shelf life at item/batch level across high-churn dark stores fails; they cope with SKU-count systems and manual checks, costing regulatory exposure, pull-and-waste, and trust deficit.</t>
  </si>
  <si>
    <t xml:space="preserve">ADVANCE (rank 2; bundle with S4-IN-05)</t>
  </si>
  <si>
    <t xml:space="preserve">4 · Logistics &amp; storage</t>
  </si>
  <si>
    <t xml:space="preserve">For supply planners at FMCG brands selling fresh/short-dated SKUs into q-commerce, positioning inventory across plant→DC→hub→dark-store echelons fails; they cope with rough allocation rules, costing simultaneous stockouts and expiry waste at 2-4km granularity.</t>
  </si>
  <si>
    <t xml:space="preserve">ADVANCE (rank 1)</t>
  </si>
  <si>
    <t xml:space="preserve">2 · Processing &amp; mfg</t>
  </si>
  <si>
    <t xml:space="preserve">For brands hunting vetted contract capacity and CMs with idle lines, matching fails; both cope with brokers/consultants/word-of-mouth, costing months of search, MOQ mismatch, duplicated audits, and idle fixed cost.</t>
  </si>
  <si>
    <t xml:space="preserve">ADVANCE (rank 5)</t>
  </si>
  <si>
    <t xml:space="preserve">Line staffing at 24/7 perishable plants fails; 622k unfilled.</t>
  </si>
  <si>
    <t xml:space="preserve">PARK</t>
  </si>
  <si>
    <t xml:space="preserve">For regional brands (Rs 50-500 cr) expanding beyond home states, seeing/managing secondary sales in new territories fails; they cope with monthly distributor statements and gut feel, costing failed expansions, dead stock, distributor churn.</t>
  </si>
  <si>
    <t xml:space="preserve">ADVANCE (rank 8, conditional)</t>
  </si>
  <si>
    <t xml:space="preserve">For distributors funding retailer credit, financing 30-45 day floats while qcom diverts volume fails; costs: interest drag, defaults, distributor exits.</t>
  </si>
  <si>
    <t xml:space="preserve">KILL (license/capital gate)</t>
  </si>
  <si>
    <t xml:space="preserve">YES</t>
  </si>
  <si>
    <t xml:space="preserve">Reformulation execution across hundreds of SKUs fails on the floor.</t>
  </si>
  <si>
    <t xml:space="preserve">S5-IN-05</t>
  </si>
  <si>
    <t xml:space="preserve">For brands and distributors jointly, processing expiry/damage returns fails - no timelines, no clean documentation (explicit AICPDF demand); they cope with disputed write-offs, costing cash-in-limbo on top of 0.5-2% spoilage leakage.</t>
  </si>
  <si>
    <t xml:space="preserve">ADVANCE (merged w/ S7-IN-02 into 'returns integrity' candidate)</t>
  </si>
  <si>
    <t xml:space="preserve">S7-IN-02</t>
  </si>
  <si>
    <t xml:space="preserve">For brands and distributors, collecting expired stock, verifying quantities and ensuring certified destruction fails - the reverse chain is unaudited, feeding the forged-date racket; costs are disputed claims, brand liability, public-health harm.</t>
  </si>
  <si>
    <t xml:space="preserve">ADVANCE (merged - see S5-IN-05)</t>
  </si>
  <si>
    <t xml:space="preserve">S4-US-01</t>
  </si>
  <si>
    <t xml:space="preserve">For supply-chain+finance at food suppliers, hitting 95-98% OTIF and disputing automated chargebacks fails; only 20-30% of deductions disputed; ~3% of COGS leaks.</t>
  </si>
  <si>
    <t xml:space="preserve">PARK (conditional on weekend interviews)</t>
  </si>
  <si>
    <t xml:space="preserve">S3-US-03</t>
  </si>
  <si>
    <t xml:space="preserve">3 · Packaging &amp; labeling</t>
  </si>
  <si>
    <t xml:space="preserve">PFAS-free substitution + proof fails across fragmented suppliers.</t>
  </si>
  <si>
    <t xml:space="preserve">S3-IN-02</t>
  </si>
  <si>
    <t xml:space="preserve">For brands built on sachet/MLP formats, meeting shelf-life and price-point with formats that satisfy recyclability/recycled-content mandates fails; they cope by paying the highest EPR rates or risky redesigns, costing escalating EC fees or broken price architecture.</t>
  </si>
  <si>
    <t xml:space="preserve">ADVANCE (rank 9, conditional on technical co-founder)</t>
  </si>
  <si>
    <t xml:space="preserve">S6-IN-02</t>
  </si>
  <si>
    <t xml:space="preserve">6 · Retail &amp; channels</t>
  </si>
  <si>
    <t xml:space="preserve">For q-com category/store-ops teams, localizing fresh assortment/depth per dark store fails at scale; coping = central templates, costing waste + misses in traffic categories.</t>
  </si>
  <si>
    <t xml:space="preserve">PARK (fold into S4-IN-05)</t>
  </si>
  <si>
    <t xml:space="preserve">S6-IN-03</t>
  </si>
  <si>
    <t xml:space="preserve">For brand field-sales orgs, knowing true on-shelf availability/execution across millions of outlets fails; coping = self-reported SFA, costing phantom distribution and wasted schemes.</t>
  </si>
  <si>
    <t xml:space="preserve">S3-IN-01</t>
  </si>
  <si>
    <t xml:space="preserve">For brand-owner compliance teams, assembling auditable EPR plastic footprints across converters/recyclers fails; coping = consultants + certificate over-buys; costs: crore-level exposure.</t>
  </si>
  <si>
    <t xml:space="preserve">KILL</t>
  </si>
  <si>
    <t xml:space="preserve">S3-IN-03</t>
  </si>
  <si>
    <t xml:space="preserve">For procurement at brands/converters, sourcing certified food-grade rPET/rHDPE at mandated rising percentages fails against thin domestic supply; costs: premiums, certificates-in-lieu, non-compliance risk.</t>
  </si>
  <si>
    <t xml:space="preserve">S4-US-05</t>
  </si>
  <si>
    <t xml:space="preserve">For network planners at manufacturers/3PLs, deciding where to hold which inventory at which temperature fails as GLP-1/e-grocery reshape flows against long-lease assets; costs: stranded capacity (20-yr-high vacancy partly this), expediting, lost shelf life.</t>
  </si>
  <si>
    <t xml:space="preserve">PARK (high; consulting wedge post-graduation)</t>
  </si>
  <si>
    <t xml:space="preserve">S7-US-01</t>
  </si>
  <si>
    <t xml:space="preserve">For grocery fresh dept managers, ordering short-shelf-life product to store-level demand fails; over-order = shrink, under = lost sales; retail share of $230B unsold-food losses.</t>
  </si>
  <si>
    <t xml:space="preserve">PARK (redirect FMF to S4-IN-05)</t>
  </si>
  <si>
    <t xml:space="preserve">S5-US-02</t>
  </si>
  <si>
    <t xml:space="preserve">Deduction validation &amp; recovery (validated Week 1; merged into S4-US-01 candidate).</t>
  </si>
  <si>
    <t xml:space="preserve">PARK (with S4-US-01)</t>
  </si>
  <si>
    <t xml:space="preserve">S4-IN-04</t>
  </si>
  <si>
    <t xml:space="preserve">For brands shipping temperature-sensitive goods via third parties, proving unbroken cold chain across fragmented custody fails; they cope with paper logs and disputes, costing spoilage write-offs, rejected consignments, and expiry returns downstream.</t>
  </si>
  <si>
    <t xml:space="preserve">ADVANCE (rank 6)</t>
  </si>
  <si>
    <t xml:space="preserve">S4-IN-01</t>
  </si>
  <si>
    <t xml:space="preserve">For FPOs/aggregators/processors/q-com buyers, moving perishables farmgate→city within shelf life fails - capacity skewed by commodity/geography, no pack-house/pre-cooling at origin; costs: the Rs 90,000 cr/yr loss pool.</t>
  </si>
  <si>
    <t xml:space="preserve">PARK (capital-gated; revisit post-graduation)</t>
  </si>
  <si>
    <t xml:space="preserve">S2-US-03</t>
  </si>
  <si>
    <t xml:space="preserve">Maintenance under technician scarcity fails; unplanned downtime, retiring knowledge.</t>
  </si>
  <si>
    <t xml:space="preserve">S4-US-03</t>
  </si>
  <si>
    <t xml:space="preserve">Operating 37-yr-old cold assets fails; retrofit-vs-rebuild under oversupply.</t>
  </si>
  <si>
    <t xml:space="preserve">S1-US-03</t>
  </si>
  <si>
    <t xml:space="preserve">1 · Inputs &amp; sourcing</t>
  </si>
  <si>
    <t xml:space="preserve">Multi-season specialty-ingredient supply assurance fails (crop risk).</t>
  </si>
  <si>
    <t xml:space="preserve">S7-US-02</t>
  </si>
  <si>
    <t xml:space="preserve">Surplus routing decisions fail; value decays while paperwork drags.</t>
  </si>
  <si>
    <t xml:space="preserve">S7-US-04</t>
  </si>
  <si>
    <t xml:space="preserve">Recall scope control without lot data fails; over-recall entire lines.</t>
  </si>
  <si>
    <t xml:space="preserve">S7-IN-03</t>
  </si>
  <si>
    <t xml:space="preserve">For brand commercial teams, clearing near-dated inventory without MOP damage fails; coping = write-offs or channel fires; costs weekly.</t>
  </si>
  <si>
    <t xml:space="preserve">S1-US-01</t>
  </si>
  <si>
    <t xml:space="preserve">Portfolio reformulation mgmt under rolling regulation fails in spreadsheets.</t>
  </si>
  <si>
    <t xml:space="preserve">S3-US-01</t>
  </si>
  <si>
    <t xml:space="preserve">Multi-state packaging-compliance mgmt fails in spreadsheets.</t>
  </si>
  <si>
    <t xml:space="preserve">S2-IN-04</t>
  </si>
  <si>
    <t xml:space="preserve">For planners at agri-linked processors, building feasible production plans under stochastic raw-material arrival fails; they cope with reactive replanning, costing expediting, utilization loss, service misses.</t>
  </si>
  <si>
    <t xml:space="preserve">PARK (high)</t>
  </si>
  <si>
    <t xml:space="preserve">S2-IN-05</t>
  </si>
  <si>
    <t xml:space="preserve">For brands outsourcing to CMs, continuous quality/compliance verification at arm's length fails; coping = periodic audits; costs: recall exposure, duplicated audits.</t>
  </si>
  <si>
    <t xml:space="preserve">PARK (bundle w/ S2-IN-01)</t>
  </si>
  <si>
    <t xml:space="preserve">S2-US-02</t>
  </si>
  <si>
    <t xml:space="preserve">Automation adoption below top tier fails - capex + unquantifiable ROI.</t>
  </si>
  <si>
    <t xml:space="preserve">S1-US-02</t>
  </si>
  <si>
    <t xml:space="preserve">Substitute-ingredient qualification (matrix survival + scale supply) fails.</t>
  </si>
  <si>
    <t xml:space="preserve">S4-US-02</t>
  </si>
  <si>
    <t xml:space="preserve">Lot-level KDE/CTE exchange under buyer mandates fails across mixed systems.</t>
  </si>
  <si>
    <t xml:space="preserve">S1-IN-02</t>
  </si>
  <si>
    <t xml:space="preserve">For processors of seasonal crops, matching harvest-window supply to year-round capacity fails; coping = buy-and-store or lean premiums; costs: WC lock, utilization collapse.</t>
  </si>
  <si>
    <t xml:space="preserve">S5-US-01</t>
  </si>
  <si>
    <t xml:space="preserve">Trade-spend effectiveness unmeasurable (validated Week 1).</t>
  </si>
  <si>
    <t xml:space="preserve">S2-US-05</t>
  </si>
  <si>
    <t xml:space="preserve">OT security debt on connected lines.</t>
  </si>
  <si>
    <t xml:space="preserve">S7-IN-04</t>
  </si>
  <si>
    <t xml:space="preserve">For e-com/q-com compliance teams, satisfying FSSAI + Legal Metrology on dates fails - per-item dates never sync brand→platform→listing.</t>
  </si>
  <si>
    <t xml:space="preserve">PARK (feature)</t>
  </si>
  <si>
    <t xml:space="preserve">S2-IN-02</t>
  </si>
  <si>
    <t xml:space="preserve">For MSME processors/CMs, clearing FSSAI/BIS/buyer audits fails - capability investment exceeds capacity; costs: penalties, lost contracts, export exclusion.</t>
  </si>
  <si>
    <t xml:space="preserve">SM-IN-01</t>
  </si>
  <si>
    <t xml:space="preserve">Seam 3→4</t>
  </si>
  <si>
    <t xml:space="preserve">Packaging designed for shelf; transit/cold costs land elsewhere; nobody owns total landed quality cost.</t>
  </si>
  <si>
    <t xml:space="preserve">PARK (absorb as wedge/service)</t>
  </si>
  <si>
    <t xml:space="preserve">S4-IN-02</t>
  </si>
  <si>
    <t xml:space="preserve">For fragmented cold-store owners and shippers needing multi-temp capacity, matching space/trucks to demand fails - no liquid market; costs: idle assets vs premium spot rates.</t>
  </si>
  <si>
    <t xml:space="preserve">S6-US-01</t>
  </si>
  <si>
    <t xml:space="preserve">Retail-media ROI accountability.</t>
  </si>
  <si>
    <t xml:space="preserve">S4-IN-03</t>
  </si>
  <si>
    <t xml:space="preserve">For cold-store/reefer operators, holding temperature economically fails vs grid unreliability; costs: opex 15-40% of capex/yr, excursions.</t>
  </si>
  <si>
    <t xml:space="preserve">S1-IN-01</t>
  </si>
  <si>
    <t xml:space="preserve">For processor procurement teams, aggregating uniform-quality volume from smallholders fails; costs: rejections, premiums, under-supply.</t>
  </si>
  <si>
    <t xml:space="preserve">S1-IN-03</t>
  </si>
  <si>
    <t xml:space="preserve">For farmers/FPOs/aggregators, first-mile perishable handling fails (~33% loss); costs: farmer realization 10-23% of consumer price.</t>
  </si>
  <si>
    <t xml:space="preserve">KILL (for current constraints)</t>
  </si>
  <si>
    <t xml:space="preserve">S3-IN-04</t>
  </si>
  <si>
    <t xml:space="preserve">For regulatory teams at food brands, keeping every SKU label compliant across FSSAI/recyclability/QR rule churn fails on email-and-PDF artwork control; costs: relabeling runs, write-offs, penalties.</t>
  </si>
  <si>
    <t xml:space="preserve">S1-US-04</t>
  </si>
  <si>
    <t xml:space="preserve">Input-cost risk mgmt below hedging tier fails amid dispersion.</t>
  </si>
  <si>
    <t xml:space="preserve">S6-US-02</t>
  </si>
  <si>
    <t xml:space="preserve">National-brand defense vs private label - strategy problem, not product.</t>
  </si>
  <si>
    <t xml:space="preserve">S2-IN-03</t>
  </si>
  <si>
    <t xml:space="preserve">For plant ops teams, scheduling proliferating SKUs without destroying OEE fails as runs shrink; costs changeover downtime, waste.</t>
  </si>
  <si>
    <t xml:space="preserve">S1-IN-05</t>
  </si>
  <si>
    <t xml:space="preserve">For exporters/branded processors, farm-level provenance fails through mandi chain; costs: export rejections, lost premiums.</t>
  </si>
  <si>
    <t xml:space="preserve">S5-US-03</t>
  </si>
  <si>
    <t xml:space="preserve">Trade accrual accuracy (feature of TPM/deduction platforms).</t>
  </si>
  <si>
    <t xml:space="preserve">S1-US-05</t>
  </si>
  <si>
    <t xml:space="preserve">Multi-jurisdiction ingredient-rule intelligence fails (moving target).</t>
  </si>
  <si>
    <t xml:space="preserve">S3-US-02</t>
  </si>
  <si>
    <t xml:space="preserve">Item-level packaging data readiness fails (never in ERPs).</t>
  </si>
  <si>
    <t xml:space="preserve">S4-US-04</t>
  </si>
  <si>
    <t xml:space="preserve">Reefer capacity procurement volatility.</t>
  </si>
  <si>
    <t xml:space="preserve">SM-US-01</t>
  </si>
  <si>
    <t xml:space="preserve">Seam 4→5</t>
  </si>
  <si>
    <t xml:space="preserve">Retailer PO volatility absorbed as supplier safety stock; no shared forecasts.</t>
  </si>
  <si>
    <t xml:space="preserve">S6-US-03</t>
  </si>
  <si>
    <t xml:space="preserve">Independent-grocer competitiveness - wholesalers' fight.</t>
  </si>
  <si>
    <t xml:space="preserve">S1-IN-04</t>
  </si>
  <si>
    <t xml:space="preserve">For farmgate buyers, objective quality grading fails; costs: disputes, adulteration, rejections.</t>
  </si>
  <si>
    <t xml:space="preserve">S6-IN-01</t>
  </si>
  <si>
    <t xml:space="preserve">Kirana ordering across 1,000+ SKUs runs on memory; dead stock + stockouts.</t>
  </si>
  <si>
    <t xml:space="preserve">S6-IN-04</t>
  </si>
  <si>
    <t xml:space="preserve">Kirana credit access fails as distributor WC compresses.</t>
  </si>
  <si>
    <t xml:space="preserve">KILL (license gate)</t>
  </si>
  <si>
    <t xml:space="preserve">S3-IN-05</t>
  </si>
  <si>
    <t xml:space="preserve">For brands sourcing from MSME converters, verifying migration/food-contact/EPR claims fails - audit capacity doesn't scale down; costs: recall exposure, duplicated audits.</t>
  </si>
  <si>
    <t xml:space="preserve">KILL (fold into S2-IN-05)</t>
  </si>
  <si>
    <t xml:space="preserve">S3-US-04</t>
  </si>
  <si>
    <t xml:space="preserve">Design-to-fee optimization unencoded.</t>
  </si>
  <si>
    <t xml:space="preserve">S5-US-04</t>
  </si>
  <si>
    <t xml:space="preserve">Wholesaler opacity for emerging brands (validated Week 1).</t>
  </si>
  <si>
    <t xml:space="preserve">S6-US-04</t>
  </si>
  <si>
    <t xml:space="preserve">Shelf/promo execution verification (validated Week 1).</t>
  </si>
  <si>
    <t xml:space="preserve">S1-IN-06</t>
  </si>
  <si>
    <t xml:space="preserve">FPO GST/ITC compliance fails; structural cost disadvantage.</t>
  </si>
  <si>
    <t xml:space="preserve">Problem statement (engine format)</t>
  </si>
  <si>
    <t xml:space="preserve">1 · Severity (freq × intensity)</t>
  </si>
  <si>
    <t xml:space="preserve">2 · Buyer, DMU &amp; sizing</t>
  </si>
  <si>
    <t xml:space="preserve">3 · Why-now</t>
  </si>
  <si>
    <t xml:space="preserve">4 · Competition &amp; incumbent response (searched evidence)</t>
  </si>
  <si>
    <t xml:space="preserve">5 · Wedge &amp; moat</t>
  </si>
  <si>
    <t xml:space="preserve">6 · Feasibility &amp; riskiest assumption</t>
  </si>
  <si>
    <t xml:space="preserve">7 · Business model</t>
  </si>
  <si>
    <t xml:space="preserve">Edge filter (why me / why not)</t>
  </si>
  <si>
    <t xml:space="preserve">FMF</t>
  </si>
  <si>
    <t xml:space="preserve">WN</t>
  </si>
  <si>
    <t xml:space="preserve">Sev</t>
  </si>
  <si>
    <t xml:space="preserve">WTP</t>
  </si>
  <si>
    <t xml:space="preserve">Mkt</t>
  </si>
  <si>
    <t xml:space="preserve">Moat</t>
  </si>
  <si>
    <t xml:space="preserve">WS</t>
  </si>
  <si>
    <t xml:space="preserve">Spd</t>
  </si>
  <si>
    <t xml:space="preserve">Impact score /100</t>
  </si>
  <si>
    <t xml:space="preserve">VERDICT</t>
  </si>
  <si>
    <t xml:space="preserve">Change vs triage &amp; why</t>
  </si>
  <si>
    <t xml:space="preserve">Daily decision; both failure modes (stockout + expiry) hit simultaneously; platforms report 40% fresh-waste cuts from AI = proxy for pain size. Painkiller.</t>
  </si>
  <si>
    <t xml:space="preserve">Two buyers: FMCG brands (supply planning budget, thousands of brands) and q-com platforms (4-5, concentrated). Bottom-up brand side: ~500-1,000 brands with meaningful fresh/short-dated qcom volume x Rs 10-40L ACV = Rs 100-300 cr SAM initially, growing with channel.</t>
  </si>
  <si>
    <t xml:space="preserve">Q-commerce 18% of top-8-city FMCG and compounding; FSSAI 30%/45-day rule makes freshness a compliance issue; dark stores crossed 6,000 (+2,000-2,500/yr).</t>
  </si>
  <si>
    <t xml:space="preserve">Platforms build in-house (Blinkit/Zepto AI forecasting; one cut fresh waste 40%). Vendor layer: Unicommerce, Omneelab WMS, Fountain9 (predictive inventory), Nuvoretail. BUT brand-side dark-store-granularity planning for suppliers INTO qcom is not clearly owned.</t>
  </si>
  <si>
    <t xml:space="preserve">Wedge: brand-side fresh-flow planning for the qcom channel (fill-rate + freshness + returns exposure per node). Moat path: cross-brand demand data flywheel per micro-market; switching costs once embedded in S&amp;OP.</t>
  </si>
  <si>
    <t xml:space="preserve">Buildable solo (forecast-free reactive logic is his own IP-in-head). Riskiest assumption: brands will pay for channel-specific planning rather than demand it from platforms/DMS.</t>
  </si>
  <si>
    <t xml:space="preserve">SaaS per brand per node-count; expansion via categories (dairy→bakery→produce). Recurring, high GM.</t>
  </si>
  <si>
    <t xml:space="preserve">STRONGEST FMF IN MAP: forecast-free hub-and-spoke reactive replenishment at ITC is literally this problem. 1-in-10 credible.</t>
  </si>
  <si>
    <t xml:space="preserve">84→78: whitespace cut 3→2 (platform in-house + Fountain9/WMS vendors); market trimmed for buyer concentration.</t>
  </si>
  <si>
    <t xml:space="preserve">Continuous; enforcement live (surprise raids, penalties); 57% of consumers worried re online expiry display. Mandatory + expensive = strong quadrant.</t>
  </si>
  <si>
    <t xml:space="preserve">Buyers: platforms (concentrated, build-risk) AND brands needing pincode-level expiry visibility of their own stock (fragmented, pay). Brand side: same universe as S4-IN-05; natural bundle.</t>
  </si>
  <si>
    <t xml:space="preserve">FSSAI rule + dark-store raids (live); GS1 2D date-carrying barcode standards window; expired-goods racket press raising liability salience.</t>
  </si>
  <si>
    <t xml:space="preserve">PickQuick already sells brand-side pincode-level inventory-age tracking for QC (10,000+ pincodes claim) - direct competitor, early stage. Platforms build in-house. Generic batch/expiry ERPs (EloERP, Brahmin, StockRegister) serve single-site, not multi-echelon QC.</t>
  </si>
  <si>
    <t xml:space="preserve">Wedge: expiry-risk layer on top of S4-IN-05 planning (same data, same buyer). Moat: batch-level data network across brands+nodes; standards (GS1) alignment.</t>
  </si>
  <si>
    <t xml:space="preserve">Buildable; data access via brand ERPs + platform portals. Riskiest assumption: PickQuick's actual traction/coverage - is the position already taken?</t>
  </si>
  <si>
    <t xml:space="preserve">SaaS; possible per-SKU-batch pricing. Recurring.</t>
  </si>
  <si>
    <t xml:space="preserve">QR-traceability + minus-30% expiry work = direct scar tissue. Strong.</t>
  </si>
  <si>
    <t xml:space="preserve">81→79: PickQuick found (ws 4→3); verify their coverage in interviews before build.</t>
  </si>
  <si>
    <t xml:space="preserve">Monthly-to-weekly per brand; quantified leak; biggest hidden cost of distribution per industry sources; trust damage fueling AICPDF revolt. Painkiller.</t>
  </si>
  <si>
    <t xml:space="preserve">Two-sided: 450k+ distributors (fragmented, low ACV, but existential pain) and brands (settle faster, fewer disputes). Bottom-up distributor side: even 2% of 450k x Rs 25-50k/yr = Rs 22-45 cr early SAM; brand side larger ACVs.</t>
  </si>
  <si>
    <t xml:space="preserve">Channel revolt makes claim hygiene politically hot; DMS/e-invoicing mandates digitize the raw data for the first time; GST 2.0 volume surge.</t>
  </si>
  <si>
    <t xml:space="preserve">Brand-side DMS incumbents (FieldAssist explicitly lists scheme &amp; claims processing; Bizom, Botree) serve the BRAND's workflow. No distributor-side, cross-brand claims platform found - the distributor juggling 5-15 brands' schemes has no tool.</t>
  </si>
  <si>
    <t xml:space="preserve">Wedge: distributor-side cross-brand claims cockpit (parse scheme circulars, auto-file, track ageing) sold via distributor associations; counter-position vs DMS vendors whose customer is the brand (they can't take the distributor's side without channel conflict - genuine counter-positioning).</t>
  </si>
  <si>
    <t xml:space="preserve">Buildable solo (document AI on scheme circulars + claims). Riskiest assumption: distributors' willingness to pay vs expecting brands to fund it.</t>
  </si>
  <si>
    <t xml:space="preserve">SaaS or %-of-recovered-claims (aligns with proven US deduction-recovery pricing).</t>
  </si>
  <si>
    <t xml:space="preserve">Knows the scheme machinery from the brand side cold; AICPDF-adjacent access plausible. Strong.</t>
  </si>
  <si>
    <t xml:space="preserve">78 held: distributor-side angle survives FieldAssist overlap via counter-positioning.</t>
  </si>
  <si>
    <t xml:space="preserve">Continuous during live channel war; every AICPDF escalation cites it; urgent + political.</t>
  </si>
  <si>
    <t xml:space="preserve">Buyer: national + regional brand sales orgs (hundreds); ACV Rs 10-30L; clean budget line (sales ops / RGM).</t>
  </si>
  <si>
    <t xml:space="preserve">MOP war at peak; brands publicly recommitting to GT need proof of parity; CCI scrutiny of platform pricing.</t>
  </si>
  <si>
    <t xml:space="preserve">E-com price monitoring exists (MetricsCart, Paxcom cover platforms); DMS vendors don't do cross-channel price truth; GT price capture (mandi-style crowdsourcing via salesmen/retailer apps) not served. Partial whitespace validated.</t>
  </si>
  <si>
    <t xml:space="preserve">Wedge: unified MOP dashboard = platform-scraped + GT-crowdsourced prices per SKU-geo; evidence packs for distributor compensation. Moat: GT price data network nobody else can assemble.</t>
  </si>
  <si>
    <t xml:space="preserve">Buildable (scraping + SFA integrations). Riskiest assumption: reliable GT price capture at acceptable cost/accuracy.</t>
  </si>
  <si>
    <t xml:space="preserve">SaaS per brand; data licensing upside.</t>
  </si>
  <si>
    <t xml:space="preserve">Distribution core + knows both sides of the parity fight. Strong.</t>
  </si>
  <si>
    <t xml:space="preserve">79→77: e-com monitors exist (ws 4→3); GT capture is the differentiator to test.</t>
  </si>
  <si>
    <t xml:space="preserve">Recurring per launch/expansion; CM idle capacity is continuous seasonal pain; both sides quantify it.</t>
  </si>
  <si>
    <t xml:space="preserve">Buyers: D2C/regional brands (thousands, small ACV) + CMs (fragmented) + inbound China-plus-one demand. Marketplace take-rate or SaaS+audit fees.</t>
  </si>
  <si>
    <t xml:space="preserve">CM re-rating + M&amp;A wave; PLI capacity added needing fill; qcom SKU proliferation pushing brands to outsource short runs.</t>
  </si>
  <si>
    <t xml:space="preserve">No platform found: discovery still via consultancies (FFCAE, IMARC, Foodsure) and directories (Tracxn lists 1,333 CMs). Whitespace genuinely validated - rare in this exercise.</t>
  </si>
  <si>
    <t xml:space="preserve">Wedge: vetted-capacity marketplace for food (spec + certification + audit data as the listing, not just contact info); start one category (his: chocolate/coffee/snacking). Moat: standardized audit/compliance data layer + liquidity network effects; disintermediation risk is the known marketplace disease.</t>
  </si>
  <si>
    <t xml:space="preserve">Buildable; supply acquisition is shoe-leather. Riskiest assumption: transaction frequency (one-time matches disintermediate; recurring value must come from QA/compliance layer = S2-IN-05 bundled).</t>
  </si>
  <si>
    <t xml:space="preserve">Take rate on contracts or SaaS for capacity/compliance listing + audit services.</t>
  </si>
  <si>
    <t xml:space="preserve">Rare both-sides operator: ran brand-side outsourcing at ITC and understands plant economics. Strong.</t>
  </si>
  <si>
    <t xml:space="preserve">74 held: consultant-only competition confirmed; disintermediation is the assumption to test.</t>
  </si>
  <si>
    <t xml:space="preserve">Per-shipment; disputes routine; liability undocumented.</t>
  </si>
  <si>
    <t xml:space="preserve">Buyer: brands + insurers (subrogation evidence) + large 3PLs. ACV moderate; claims-linked pricing possible.</t>
  </si>
  <si>
    <t xml:space="preserve">FSSAI reach into storage/transport; GS1 2D codes; q-com cold layer growth; insurance interest in parametric spoilage.</t>
  </si>
  <si>
    <t xml:space="preserve">168 cold-monitoring startups globally; India hardware (Tessol, Adapt Ideations, Tan90 sensors) exists. The HARDWARE is commoditized; the custody/liability/claims-settlement layer (who pays for this excursion) is not clearly owned.</t>
  </si>
  <si>
    <t xml:space="preserve">Wedge: excursion-liability ledger + automated claims settlement on top of commodity sensors (sensor-agnostic). Moat: becomes the system of record for cold-custody disputes; switching costs.</t>
  </si>
  <si>
    <t xml:space="preserve">Buildable; sensor partnerships needed. Riskiest assumption: will counterparties accept a neutral ledger's verdicts (adoption is two-sided).</t>
  </si>
  <si>
    <t xml:space="preserve">SaaS + per-claim fees; insurer channel.</t>
  </si>
  <si>
    <t xml:space="preserve">QR-traceability + cold chain depth; credible neutral-party builder. Strong.</t>
  </si>
  <si>
    <t xml:space="preserve">74→72: monitoring hardware crowded (ws 3→2); wedge redefined to liability layer above sensors.</t>
  </si>
  <si>
    <t xml:space="preserve">Every returns cycle; escalating politically.</t>
  </si>
  <si>
    <t xml:space="preserve">Buyer: brands (reverse-logistics budget) + distributors. Natural bundle with S5-IN-01 (same claims rails) and S7-IN-02 (same physical flow).</t>
  </si>
  <si>
    <t xml:space="preserve">AICPDF demanding guaranteed return rights = pull; forged-date racket press = brand liability.</t>
  </si>
  <si>
    <t xml:space="preserve">No dedicated player found for returns verification/certified destruction. DMS returns modules are bookkeeping, not verification.</t>
  </si>
  <si>
    <t xml:space="preserve">Wedge: verified returns chain (photo/QR evidence, destruction certificates) bolted to the claims cockpit. Moat: modest alone; strong in bundle.</t>
  </si>
  <si>
    <t xml:space="preserve">Buildable; ops-light if evidence-based. Riskiest assumption: who funds it (brand compliance budget most likely).</t>
  </si>
  <si>
    <t xml:space="preserve">Per-transaction verification fees + SaaS.</t>
  </si>
  <si>
    <t xml:space="preserve">Same machinery knowledge as S5-IN-01. Strong in bundle.</t>
  </si>
  <si>
    <t xml:space="preserve">72 held; evaluate only as bundle with S5-IN-01/S7-IN-02.</t>
  </si>
  <si>
    <t xml:space="preserve">Continuous; liability tail-risk large (racket press coverage).</t>
  </si>
  <si>
    <t xml:space="preserve">Buyer: brand compliance/quality budgets; platforms post-raids.</t>
  </si>
  <si>
    <t xml:space="preserve">FSSAI enforcement + racket exposure; GS1 codes enable item-level verification.</t>
  </si>
  <si>
    <t xml:space="preserve">No player found. Informal liquidation is the incumbent (and the adversary).</t>
  </si>
  <si>
    <t xml:space="preserve">Wedge: destruction-verification network (certified partners + evidence chain). Moat: network of verified processors + system-of-record status.</t>
  </si>
  <si>
    <t xml:space="preserve">Ops-heavier than pure SaaS. Riskiest assumption: enforcement pressure sufficient to force paid adoption.</t>
  </si>
  <si>
    <t xml:space="preserve">Per-kg/per-batch certification fees.</t>
  </si>
  <si>
    <t xml:space="preserve">Traceability edge fits; ops comfort real. Good.</t>
  </si>
  <si>
    <t xml:space="preserve">72 held; bundle candidate.</t>
  </si>
  <si>
    <t xml:space="preserve">Per-expansion; high stakes per occurrence; recurring across the long tail of regional brands.</t>
  </si>
  <si>
    <t xml:space="preserve">Buyer: founder/sales-head at regional brands; thousands of such brands; ACV Rs 3-10L. Real budget when expansion is board priority.</t>
  </si>
  <si>
    <t xml:space="preserve">GT pivot-back + qcom discovery flywheel letting regional brands scale faster than their distribution muscle.</t>
  </si>
  <si>
    <t xml:space="preserve">Mid-market SFA/DMS exists (SalesTrendz, Delta, SalesPort, BeatRoute at Rs 700-1,470/user/mo) - tools, not outcomes. Nobody sells 'expansion intelligence' (where to expand, which distributor archetype, early-warning on stuffing).</t>
  </si>
  <si>
    <t xml:space="preserve">Wedge: expansion-playbook layer on top of any DMS (his ITC playbooks productized). Moat: thin (content+analytics); could become distribution-as-a-service.</t>
  </si>
  <si>
    <t xml:space="preserve">Buildable. Riskiest assumption: regional brands pay for intelligence vs just buying cheap SFA seats.</t>
  </si>
  <si>
    <t xml:space="preserve">SaaS + success fees on expansion milestones.</t>
  </si>
  <si>
    <t xml:space="preserve">1000-distributor, 42-warehouse operator credibility sells itself to this persona. Strong.</t>
  </si>
  <si>
    <t xml:space="preserve">77→72: mid-market DMS density (ws 3→2); differentiation must be proven in interviews.</t>
  </si>
  <si>
    <t xml:space="preserve">Structural, industry-wide (sachet economy); EC rates rising to 2028-29.</t>
  </si>
  <si>
    <t xml:space="preserve">Buyer: FMCG packaging/R&amp;D heads; large ACV if solved (materials licensing).</t>
  </si>
  <si>
    <t xml:space="preserve">MLP EC-rate hike 2026; recycled-content targets to 80% by FY28 (Cat I); IS 14534 labelling.</t>
  </si>
  <si>
    <t xml:space="preserve">Incumbent converters (UFlex, EPL, Huhtamaki) run their own recyclable-MLP R&amp;D; global majors (Amcor) too. A startup wins only with genuinely better materials/process IP.</t>
  </si>
  <si>
    <t xml:space="preserve">Wedge: mono-material/barrier innovation for one category (his ITC packaging-innovation muscle). Moat: patents/process power if achieved - real but slow.</t>
  </si>
  <si>
    <t xml:space="preserve">NOT solo-buildable: needs lab, capital, technical co-founder. Riskiest assumption: access to materials-science capability.</t>
  </si>
  <si>
    <t xml:space="preserve">IP licensing or converter JV.</t>
  </si>
  <si>
    <t xml:space="preserve">ITC packaging innovation (reefer-elimination, 50% automation) = genuine edge, but atoms+capital+first-time-founder discount applies.</t>
  </si>
  <si>
    <t xml:space="preserve">75→71: converter in-house R&amp;D is the incumbent response; park unless co-founder path appears.</t>
  </si>
  <si>
    <t xml:space="preserve">Daily-weekly in season.</t>
  </si>
  <si>
    <t xml:space="preserve">Mid-size processors; planning budget thin below enterprise.</t>
  </si>
  <si>
    <t xml:space="preserve">PLI capacity + compliance raising stakes.</t>
  </si>
  <si>
    <t xml:space="preserve">Enterprise planning (o9, Blue Yonder, RELEX) serves large cos; Fountain9 (India) does predictive inventory for consumer/retail. Mid-market processor niche partially open but budget-thin.</t>
  </si>
  <si>
    <t xml:space="preserve">Wedge: crop-arrival-aware planning for one category. Moat: thin.</t>
  </si>
  <si>
    <t xml:space="preserve">Buildable. Riskiest: WTP below enterprise tier.</t>
  </si>
  <si>
    <t xml:space="preserve">SaaS.</t>
  </si>
  <si>
    <t xml:space="preserve">Planning ★ + mfg ops - decent fit, weak buyer.</t>
  </si>
  <si>
    <t xml:space="preserve">71→69: Fountain9/enterprise adjacency; revisit if S4-IN-05 pulls it in as module.</t>
  </si>
  <si>
    <t xml:space="preserve">Daily; platforms quantify (40% waste-cut claims).</t>
  </si>
  <si>
    <t xml:space="preserve">4-5 platforms; concentrated; strong in-house tech identity.</t>
  </si>
  <si>
    <t xml:space="preserve">Dark-store count compounding; fresh = differentiation battleground.</t>
  </si>
  <si>
    <t xml:space="preserve">Platforms build in-house; Omneelab/Unicommerce WMS layer exists.</t>
  </si>
  <si>
    <t xml:space="preserve">Wedge only as brand-side (folded into S4-IN-05).</t>
  </si>
  <si>
    <t xml:space="preserve">Build-vs-buy risk decisive.</t>
  </si>
  <si>
    <t xml:space="preserve">Enterprise SaaS.</t>
  </si>
  <si>
    <t xml:space="preserve">FMF strong but buyer structure hostile.</t>
  </si>
  <si>
    <t xml:space="preserve">75→73: platform in-house risk; brand-side is the viable door.</t>
  </si>
  <si>
    <t xml:space="preserve">Daily; large orgs spend heavily already.</t>
  </si>
  <si>
    <t xml:space="preserve">National brands; established budgets (SFA line).</t>
  </si>
  <si>
    <t xml:space="preserve">GT pivot-back raises execution stakes.</t>
  </si>
  <si>
    <t xml:space="preserve">Dense: Bizom, FieldAssist, BeatRoute, ParallelDots (image-rec), SalesPort etc. Vision-audit players active in India.</t>
  </si>
  <si>
    <t xml:space="preserve">No differentiated wedge identified vs incumbents.</t>
  </si>
  <si>
    <t xml:space="preserve">Buildable but me-too.</t>
  </si>
  <si>
    <t xml:space="preserve">Strong FMF, taken market.</t>
  </si>
  <si>
    <t xml:space="preserve">74→72: incumbent-dense; no counter-position found.</t>
  </si>
  <si>
    <t xml:space="preserve">Continuous, existential.</t>
  </si>
  <si>
    <t xml:space="preserve">Distributors; but the PRODUCT is credit.</t>
  </si>
  <si>
    <t xml:space="preserve">Channel stress peak.</t>
  </si>
  <si>
    <t xml:space="preserve">Fintech/NBFC graveyard in supply-chain finance; survivors are licensed lenders.</t>
  </si>
  <si>
    <t xml:space="preserve">Any real fix = lending → NBFC license + balance sheet.</t>
  </si>
  <si>
    <t xml:space="preserve">KILL GATE: needs capital/licenses he can't get part-time.</t>
  </si>
  <si>
    <t xml:space="preserve">Lending economics.</t>
  </si>
  <si>
    <t xml:space="preserve">Edge irrelevant to the gate.</t>
  </si>
  <si>
    <t xml:space="preserve">72→70 but gated; revisit only as data layer for others' credit.</t>
  </si>
  <si>
    <t xml:space="preserve">Seasonal but severe.</t>
  </si>
  <si>
    <t xml:space="preserve">Processors; moderate WTP.</t>
  </si>
  <si>
    <t xml:space="preserve">AIF/PMKSY windows.</t>
  </si>
  <si>
    <t xml:space="preserve">Arya.ag (warehousing+finance) closest; planning incumbents above.</t>
  </si>
  <si>
    <t xml:space="preserve">Wedge unclear vs Arya.ag.</t>
  </si>
  <si>
    <t xml:space="preserve">Feasible; differentiation weak.</t>
  </si>
  <si>
    <t xml:space="preserve">SaaS/finance hybrid.</t>
  </si>
  <si>
    <t xml:space="preserve">Planning fit moderate.</t>
  </si>
  <si>
    <t xml:space="preserve">67→66.</t>
  </si>
  <si>
    <t xml:space="preserve">Annual+ongoing; enforcement digital from Apr 2026.</t>
  </si>
  <si>
    <t xml:space="preserve">All PIBOs; clear budget.</t>
  </si>
  <si>
    <t xml:space="preserve">EPR digital era.</t>
  </si>
  <si>
    <t xml:space="preserve">Recykal dominant (650+ brands, 100+ verified recyclers) + Ecoex, Karo Sambhav, Circulogy, consultancies (Afleo).</t>
  </si>
  <si>
    <t xml:space="preserve">No wedge vs Recykal's network.</t>
  </si>
  <si>
    <t xml:space="preserve">Late entry.</t>
  </si>
  <si>
    <t xml:space="preserve">SaaS/credits.</t>
  </si>
  <si>
    <t xml:space="preserve">Packaging edge doesn't beat network incumbency.</t>
  </si>
  <si>
    <t xml:space="preserve">71→68→verdict kill: Recykal network effects decisive.</t>
  </si>
  <si>
    <t xml:space="preserve">Weekly.</t>
  </si>
  <si>
    <t xml:space="preserve">Brands; moderate.</t>
  </si>
  <si>
    <t xml:space="preserve">FSSAI freshness rules squeeze sell-window.</t>
  </si>
  <si>
    <t xml:space="preserve">Excess2sell (electronics-led B2B liquidation); food-specific near-expiry marketplace absent; Flashfood-analog absent.</t>
  </si>
  <si>
    <t xml:space="preserve">Wedge exists (food near-expiry B2B channel) but MOP entanglement is the disease itself.</t>
  </si>
  <si>
    <t xml:space="preserve">Ops-heavy marketplace.</t>
  </si>
  <si>
    <t xml:space="preserve">Take rate.</t>
  </si>
  <si>
    <t xml:space="preserve">Fit moderate.</t>
  </si>
  <si>
    <t xml:space="preserve">67 held; revisit after returns-integrity candidate matures.</t>
  </si>
  <si>
    <t xml:space="preserve">Continuous.</t>
  </si>
  <si>
    <t xml:space="preserve">Platforms + brands.</t>
  </si>
  <si>
    <t xml:space="preserve">Two-regulator enforcement.</t>
  </si>
  <si>
    <t xml:space="preserve">GS1 India push; PickQuick adjacent; platforms in-house.</t>
  </si>
  <si>
    <t xml:space="preserve">Feature of S7-IN-01, not company.</t>
  </si>
  <si>
    <t xml:space="preserve">Feasible.</t>
  </si>
  <si>
    <t xml:space="preserve">Fine.</t>
  </si>
  <si>
    <t xml:space="preserve">Per-audit; rising.</t>
  </si>
  <si>
    <t xml:space="preserve">MSMEs = thin WTP; brands may sponsor.</t>
  </si>
  <si>
    <t xml:space="preserve">Enforcement surge; QCOs.</t>
  </si>
  <si>
    <t xml:space="preserve">Compliance consultants abundant; no scaled SaaS for food MSMEs; brand-sponsored model untested.</t>
  </si>
  <si>
    <t xml:space="preserve">Wedge: brand-funded CM-compliance platform (bundles into S2-IN-01/S2-IN-05).</t>
  </si>
  <si>
    <t xml:space="preserve">Brand-paid SaaS.</t>
  </si>
  <si>
    <t xml:space="preserve">Good in bundle.</t>
  </si>
  <si>
    <t xml:space="preserve">62 held.</t>
  </si>
  <si>
    <t xml:space="preserve">Per-site continuous.</t>
  </si>
  <si>
    <t xml:space="preserve">Brands; real budget.</t>
  </si>
  <si>
    <t xml:space="preserve">CM boom + China-plus-one.</t>
  </si>
  <si>
    <t xml:space="preserve">Audit firms (SGS, TUV) own point-in-time; continuous-monitoring SaaS for food CMs not found in India.</t>
  </si>
  <si>
    <t xml:space="preserve">Wedge: shared-audit + continuous QA data layer = the recurring-revenue engine that fixes S2-IN-01's disintermediation problem.</t>
  </si>
  <si>
    <t xml:space="preserve">SaaS + audit fees.</t>
  </si>
  <si>
    <t xml:space="preserve">Strong in bundle.</t>
  </si>
  <si>
    <t xml:space="preserve">66 held; key module of CM-platform candidate.</t>
  </si>
  <si>
    <t xml:space="preserve">Daily.</t>
  </si>
  <si>
    <t xml:space="preserve">Plants; moderate.</t>
  </si>
  <si>
    <t xml:space="preserve">Qcom pack proliferation.</t>
  </si>
  <si>
    <t xml:space="preserve">OEE/MES vendors adjacent.</t>
  </si>
  <si>
    <t xml:space="preserve">Scheduling niche; thin.</t>
  </si>
  <si>
    <t xml:space="preserve">Good mfg fit.</t>
  </si>
  <si>
    <t xml:space="preserve">Small operators; thin WTP.</t>
  </si>
  <si>
    <t xml:space="preserve">Energy costs; refrigerant transition.</t>
  </si>
  <si>
    <t xml:space="preserve">Energy-service cos + Tessol/Inficold hardware.</t>
  </si>
  <si>
    <t xml:space="preserve">Services-shaped.</t>
  </si>
  <si>
    <t xml:space="preserve">Capex-adjacent.</t>
  </si>
  <si>
    <t xml:space="preserve">ESCO model.</t>
  </si>
  <si>
    <t xml:space="preserve">Mech-eng fit, weak business shape.</t>
  </si>
  <si>
    <t xml:space="preserve">63 held.</t>
  </si>
  <si>
    <t xml:space="preserve">Per-consignment.</t>
  </si>
  <si>
    <t xml:space="preserve">Exporters; decent WTP.</t>
  </si>
  <si>
    <t xml:space="preserve">EU deforestation/FSSAI export rules.</t>
  </si>
  <si>
    <t xml:space="preserve">TraceX, SourceTrace, global traceability vendors in India agri.</t>
  </si>
  <si>
    <t xml:space="preserve">Niche vs existing agri-trace SaaS.</t>
  </si>
  <si>
    <t xml:space="preserve">Traceability fit.</t>
  </si>
  <si>
    <t xml:space="preserve">64→62.</t>
  </si>
  <si>
    <t xml:space="preserve">Processors.</t>
  </si>
  <si>
    <t xml:space="preserve">AIF windows.</t>
  </si>
  <si>
    <t xml:space="preserve">Ninjacart ($815M val, 'capital-intensive physical moat', exclusive qcom contracts), DeHaat (EBITDA+), Bijak, Crofarm; WayCool's collapse shows the margin trap.</t>
  </si>
  <si>
    <t xml:space="preserve">No software-only wedge; capital game.</t>
  </si>
  <si>
    <t xml:space="preserve">Not solo-viable.</t>
  </si>
  <si>
    <t xml:space="preserve">Ops margins thin.</t>
  </si>
  <si>
    <t xml:space="preserve">Edge exists; economics don't.</t>
  </si>
  <si>
    <t xml:space="preserve">62→61: incumbent capital moats + WayCool cautionary tale.</t>
  </si>
  <si>
    <t xml:space="preserve">Structural.</t>
  </si>
  <si>
    <t xml:space="preserve">Payer unclear (farmer/FPO thin; govt schemes).</t>
  </si>
  <si>
    <t xml:space="preserve">PMKSY/AIF.</t>
  </si>
  <si>
    <t xml:space="preserve">Ninjacart-class + govt pack-house programs.</t>
  </si>
  <si>
    <t xml:space="preserve">Infra play.</t>
  </si>
  <si>
    <t xml:space="preserve">Capex + first-time-founder discount.</t>
  </si>
  <si>
    <t xml:space="preserve">Asset returns.</t>
  </si>
  <si>
    <t xml:space="preserve">Deep edge, wrong vehicle for now.</t>
  </si>
  <si>
    <t xml:space="preserve">62→60; revisit post-graduation with capital if conviction remains.</t>
  </si>
  <si>
    <t xml:space="preserve">Per-transaction.</t>
  </si>
  <si>
    <t xml:space="preserve">Buyers.</t>
  </si>
  <si>
    <t xml:space="preserve">AI vision maturity.</t>
  </si>
  <si>
    <t xml:space="preserve">Intello Labs, AgNext established in vision grading.</t>
  </si>
  <si>
    <t xml:space="preserve">Late.</t>
  </si>
  <si>
    <t xml:space="preserve">Feasible but taken.</t>
  </si>
  <si>
    <t xml:space="preserve">SaaS/device.</t>
  </si>
  <si>
    <t xml:space="preserve">Thin vs incumbents.</t>
  </si>
  <si>
    <t xml:space="preserve">59→57.</t>
  </si>
  <si>
    <t xml:space="preserve">Ongoing.</t>
  </si>
  <si>
    <t xml:space="preserve">No budget owner.</t>
  </si>
  <si>
    <t xml:space="preserve">-</t>
  </si>
  <si>
    <t xml:space="preserve">Accounting services.</t>
  </si>
  <si>
    <t xml:space="preserve">None.</t>
  </si>
  <si>
    <t xml:space="preserve">44.</t>
  </si>
  <si>
    <t xml:space="preserve">Kiranas won't pay; eB2B graveyard proves it.</t>
  </si>
  <si>
    <t xml:space="preserve">Udaan/Kirana Club/retailer apps saturate.</t>
  </si>
  <si>
    <t xml:space="preserve">None viable.</t>
  </si>
  <si>
    <t xml:space="preserve">57.</t>
  </si>
  <si>
    <t xml:space="preserve">License gate.</t>
  </si>
  <si>
    <t xml:space="preserve">Fintech graveyard.</t>
  </si>
  <si>
    <t xml:space="preserve">56.</t>
  </si>
  <si>
    <t xml:space="preserve">Per-redesign.</t>
  </si>
  <si>
    <t xml:space="preserve">Brands; project budgets.</t>
  </si>
  <si>
    <t xml:space="preserve">EPR redesigns force pack rethink anyway.</t>
  </si>
  <si>
    <t xml:space="preserve">Tessol/Tan90 own the passive-cooling PRODUCT category (his reefer-elimination move is literally their business); consultancies do pack-optimization projects.</t>
  </si>
  <si>
    <t xml:space="preserve">Standalone thin; powerful as service wedge inside S4-IN-04/05 offering or as consulting entry.</t>
  </si>
  <si>
    <t xml:space="preserve">Consulting-shaped.</t>
  </si>
  <si>
    <t xml:space="preserve">Project fees→product.</t>
  </si>
  <si>
    <t xml:space="preserve">Signature insight, absorbed elsewhere.</t>
  </si>
  <si>
    <t xml:space="preserve">75→67: Tessol/Tan90 occupy the product form of this insight.</t>
  </si>
  <si>
    <t xml:space="preserve">Annual targets rising to FY29; structural supply gap.</t>
  </si>
  <si>
    <t xml:space="preserve">Brands + converters; clear compliance budget.</t>
  </si>
  <si>
    <t xml:space="preserve">Recycled-content mandates phase up; IS 14534 labelling.</t>
  </si>
  <si>
    <t xml:space="preserve">Recyclers scaling (Ganesha, Gravita); Recykal marketplace covers credits, not certified food-grade supply contracts; supply-side is capex.</t>
  </si>
  <si>
    <t xml:space="preserve">Wedge: certified rPET supply aggregation/offtake brokerage. Moat: cornered supply relationships possible; capital-adjacent.</t>
  </si>
  <si>
    <t xml:space="preserve">Supply-side = capex or brokerage; brokerage thin. Riskiest: whether certification bottleneck is solvable without owning assets.</t>
  </si>
  <si>
    <t xml:space="preserve">Brokerage/offtake fees.</t>
  </si>
  <si>
    <t xml:space="preserve">Sourcing muscle fits; capital shape doesn't (yet).</t>
  </si>
  <si>
    <t xml:space="preserve">67→66: supply-side capex shape; revisit with capital.</t>
  </si>
  <si>
    <t xml:space="preserve">Per-rule-change; frequent.</t>
  </si>
  <si>
    <t xml:space="preserve">Brand reg teams; moderate ACV.</t>
  </si>
  <si>
    <t xml:space="preserve">FSSAI enforcement surge + EPR QR mandate.</t>
  </si>
  <si>
    <t xml:space="preserve">Global artwork/label systems (GlobalVision, Loftware, Kallik) exist; India-localized FSSAI+LM+EPR rule engine is a localization gap, not a category gap.</t>
  </si>
  <si>
    <t xml:space="preserve">Wedge: India rule-engine on artwork workflow. Moat: thin; localization defensibility only.</t>
  </si>
  <si>
    <t xml:space="preserve">Buildable. Riskiest: incumbents localize faster than he distributes.</t>
  </si>
  <si>
    <t xml:space="preserve">Packaging fit moderate.</t>
  </si>
  <si>
    <t xml:space="preserve">63→62.</t>
  </si>
  <si>
    <t xml:space="preserve">Per-supplier ongoing.</t>
  </si>
  <si>
    <t xml:space="preserve">Brands; thin standalone budget.</t>
  </si>
  <si>
    <t xml:space="preserve">FSSAI migration standards tightening.</t>
  </si>
  <si>
    <t xml:space="preserve">Audit firms own point-in-time checks; no continuous layer - but market thin standalone.</t>
  </si>
  <si>
    <t xml:space="preserve">Feature of converter-verification within S2-IN-05 bundle.</t>
  </si>
  <si>
    <t xml:space="preserve">Audit fees.</t>
  </si>
  <si>
    <t xml:space="preserve">Fine in bundle.</t>
  </si>
  <si>
    <t xml:space="preserve">60→59.</t>
  </si>
  <si>
    <t xml:space="preserve">Structural, severe (33% loss).</t>
  </si>
  <si>
    <t xml:space="preserve">Payers fragmented: farmers thin, buyers indirect, govt schemes central.</t>
  </si>
  <si>
    <t xml:space="preserve">National Cold Chain Grid + 35-50% subsidies + PMKSY window.</t>
  </si>
  <si>
    <t xml:space="preserve">Ninjacart-class integrators + govt pack-house programs + Celcius on transport; the gap is infra, not software.</t>
  </si>
  <si>
    <t xml:space="preserve">Wedge would be asset-building against subsidies - a capital play.</t>
  </si>
  <si>
    <t xml:space="preserve">KILL-GATE ADJACENT for evenings/weekends: capex, licenses, ops army; first-time-founder discount at max.</t>
  </si>
  <si>
    <t xml:space="preserve">Asset returns + subsidy stacking.</t>
  </si>
  <si>
    <t xml:space="preserve">Deepest edge in the map, wrong vehicle under current constraints.</t>
  </si>
  <si>
    <t xml:space="preserve">74→72: verdict reflects constraint, not pain.</t>
  </si>
  <si>
    <t xml:space="preserve">Continuous; compositional mismatch structural.</t>
  </si>
  <si>
    <t xml:space="preserve">Both sides fragmented; marketplace economics.</t>
  </si>
  <si>
    <t xml:space="preserve">Subsidy-built capacity needs fill; q-com cold demand.</t>
  </si>
  <si>
    <t xml:space="preserve">Celcius is the validated incumbent: 600→1,000+ cities planned, Series B, CB Insights 'Challenger', IPO track. Late.</t>
  </si>
  <si>
    <t xml:space="preserve">No differentiated wedge vs Celcius network liquidity.</t>
  </si>
  <si>
    <t xml:space="preserve">Feasible but me-too.</t>
  </si>
  <si>
    <t xml:space="preserve">Cold ★★ doesn't beat a 5-year liquidity head start.</t>
  </si>
  <si>
    <t xml:space="preserve">74→69: Celcius decisive; watch for their gaps via interviews.</t>
  </si>
  <si>
    <t xml:space="preserve">Continuous; recall blast-radius era (57.4M units Q1-26); reformulation waves mechanically multiply label changes 2026-28.</t>
  </si>
  <si>
    <t xml:space="preserve">Buyer: QA/food-safety VPs at ~5-8k mid-size multi-SKU manufacturers + co-packers; recall insurance premium leverage. ACV $30-80k.</t>
  </si>
  <si>
    <t xml:space="preserve">Dye/GRAS reformulation = thousands of simultaneous label changes; states' patchwork multiplies versions; FSMA-era recall scrutiny.</t>
  </si>
  <si>
    <t xml:space="preserve">Layers exist but disconnected: line vision/OCV (Cognex, Keyence, Elementary), artwork proofing (GlobalVision), AI label review (Truli, Taama), spec systems (TraceGains, Specright). Nobody owns formula→artwork→line-verification SYNC for the mid-market.</t>
  </si>
  <si>
    <t xml:space="preserve">Wedge: 'label-integrity control tower' - reconcile formula system vs approved artwork vs what the line vision actually saw, per run. Counter-position: point vendors each defend their layer; integration is nobody's product.</t>
  </si>
  <si>
    <t xml:space="preserve">Buildable as integration+AI layer (no hardware). Riskiest assumption: mid-market plants will buy orchestration vs adding another point tool.</t>
  </si>
  <si>
    <t xml:space="preserve">SaaS per plant + per-SKU-change fees during reformulation surge.</t>
  </si>
  <si>
    <t xml:space="preserve">Packaging + mfg-ops edge fits; not 1-in-10 vs US foodtech founders but defensible via ops depth.</t>
  </si>
  <si>
    <t xml:space="preserve">74→73: layered incumbents (ws 3); sync-gap wedge must survive interviews.</t>
  </si>
  <si>
    <t xml:space="preserve">Quarterly-annual decisions, large $ each; structural demand shift ongoing.</t>
  </si>
  <si>
    <t xml:space="preserve">Buyer: VP supply chain at food manufacturers + 3PL strategy; consulting budgets exist.</t>
  </si>
  <si>
    <t xml:space="preserve">Demand-shift era + vacancy dislocation = redesign window; automation/retrofit cycle forces the question.</t>
  </si>
  <si>
    <t xml:space="preserve">Network-design tools (Coupa/Llamasoft legacy, RELEX adjacent) + consultancies own enterprise; mid-market underserved but buys consulting, not software.</t>
  </si>
  <si>
    <t xml:space="preserve">Wedge: cold-network redesign advisory productizing into planning software. Moat: thin initially; data accumulates.</t>
  </si>
  <si>
    <t xml:space="preserve">Consulting-shaped start (viable while at HBS? borderline). Riskiest assumption: converting projects to product.</t>
  </si>
  <si>
    <t xml:space="preserve">Project fees → SaaS.</t>
  </si>
  <si>
    <t xml:space="preserve">Cold + network design = genuine ★; US buyer access via HBS plausible.</t>
  </si>
  <si>
    <t xml:space="preserve">75→71: tools+consultants adjacent; shape mismatch with current time constraints.</t>
  </si>
  <si>
    <t xml:space="preserve">Weekly-monthly; validated Week 1.</t>
  </si>
  <si>
    <t xml:space="preserve">Mid-market conventional suppliers on non-Walmart ecosystems = the only maybe-open segment.</t>
  </si>
  <si>
    <t xml:space="preserve">Retailer fine automation.</t>
  </si>
  <si>
    <t xml:space="preserve">SupplyPike, iNymbus, Confido ($20M, $1B+ processed), HighRadius, Smyyth, STAT - validated crowded.</t>
  </si>
  <si>
    <t xml:space="preserve">Only if interviews reveal structurally ignored segment.</t>
  </si>
  <si>
    <t xml:space="preserve">Feasible; late.</t>
  </si>
  <si>
    <t xml:space="preserve">%-recovery.</t>
  </si>
  <si>
    <t xml:space="preserve">Not 1-in-10 here (validated Week 1).</t>
  </si>
  <si>
    <t xml:space="preserve">65 held from Week 1 deep-dive.</t>
  </si>
  <si>
    <t xml:space="preserve">Daily; proven spend.</t>
  </si>
  <si>
    <t xml:space="preserve">Grocers all sizes.</t>
  </si>
  <si>
    <t xml:space="preserve">Waste bans; margins.</t>
  </si>
  <si>
    <t xml:space="preserve">DECISIVE: Afresh ($182M, Albertsons/Meijer/Wakefern + mid-market Heinen's/Brookshire/Stater, now whole-store); Shelf Engine→Crisp; Invafresh acquired; Freshflow, Aravita, RELEX. Category winner emerging.</t>
  </si>
  <si>
    <t xml:space="preserve">None left in US; India analog is where this FMF goes (S4-IN-05).</t>
  </si>
  <si>
    <t xml:space="preserve">Perfect FMF, occupied market - the map's clearest 'right skill, wrong geography' finding.</t>
  </si>
  <si>
    <t xml:space="preserve">79→73: Afresh's mid-market penetration closes the gap triage hoped for.</t>
  </si>
  <si>
    <t xml:space="preserve">Plant maintenance budgets real.</t>
  </si>
  <si>
    <t xml:space="preserve">Labor structural.</t>
  </si>
  <si>
    <t xml:space="preserve">Augury + PdM category mature; CMMS (Fiix/MaintainX) dense.</t>
  </si>
  <si>
    <t xml:space="preserve">Knowledge-capture niche maybe; thin.</t>
  </si>
  <si>
    <t xml:space="preserve">GE PdM history vs entrenched category.</t>
  </si>
  <si>
    <t xml:space="preserve">73→70: Augury et al decisive.</t>
  </si>
  <si>
    <t xml:space="preserve">Plants.</t>
  </si>
  <si>
    <t xml:space="preserve">Veryable/Traba/Instawork flexible-labor marketplaces + Chef Robotics RaaS.</t>
  </si>
  <si>
    <t xml:space="preserve">None differentiated.</t>
  </si>
  <si>
    <t xml:space="preserve">Thin FMF.</t>
  </si>
  <si>
    <t xml:space="preserve">70 held; no wedge.</t>
  </si>
  <si>
    <t xml:space="preserve">Per-project.</t>
  </si>
  <si>
    <t xml:space="preserve">Mid-market plants.</t>
  </si>
  <si>
    <t xml:space="preserve">Labor + cost curves.</t>
  </si>
  <si>
    <t xml:space="preserve">Formic RaaS (97% renewal, expanding) + Chef Robotics ($43M) directly consume this.</t>
  </si>
  <si>
    <t xml:space="preserve">ROI-advisory only; thin.</t>
  </si>
  <si>
    <t xml:space="preserve">71→67→kill: RaaS is the answer and it's funded.</t>
  </si>
  <si>
    <t xml:space="preserve">2026-28 surge.</t>
  </si>
  <si>
    <t xml:space="preserve">Ops+R&amp;D.</t>
  </si>
  <si>
    <t xml:space="preserve">Dye/GRAS.</t>
  </si>
  <si>
    <t xml:space="preserve">Program-mgmt consultancies; TraceGains upstream.</t>
  </si>
  <si>
    <t xml:space="preserve">Project fees.</t>
  </si>
  <si>
    <t xml:space="preserve">Moderate.</t>
  </si>
  <si>
    <t xml:space="preserve">69→67.</t>
  </si>
  <si>
    <t xml:space="preserve">Rolling to 2030.</t>
  </si>
  <si>
    <t xml:space="preserve">Packaging eng + procurement.</t>
  </si>
  <si>
    <t xml:space="preserve">12-state bans.</t>
  </si>
  <si>
    <t xml:space="preserve">Testing labs + Specright/Lorax data layer.</t>
  </si>
  <si>
    <t xml:space="preserve">Materials niche; lab-dependent.</t>
  </si>
  <si>
    <t xml:space="preserve">Not solo.</t>
  </si>
  <si>
    <t xml:space="preserve">Fees.</t>
  </si>
  <si>
    <t xml:space="preserve">Mech-eng adjacent.</t>
  </si>
  <si>
    <t xml:space="preserve">70→68.</t>
  </si>
  <si>
    <t xml:space="preserve">Capital cycle.</t>
  </si>
  <si>
    <t xml:space="preserve">Operators.</t>
  </si>
  <si>
    <t xml:space="preserve">Vacancy + energy.</t>
  </si>
  <si>
    <t xml:space="preserve">ESCOs, Lineage in-house, automation vendors.</t>
  </si>
  <si>
    <t xml:space="preserve">Services/capex.</t>
  </si>
  <si>
    <t xml:space="preserve">Shape mismatch.</t>
  </si>
  <si>
    <t xml:space="preserve">Project.</t>
  </si>
  <si>
    <t xml:space="preserve">Cold+mech fit.</t>
  </si>
  <si>
    <t xml:space="preserve">71→68.</t>
  </si>
  <si>
    <t xml:space="preserve">Seasonal+.</t>
  </si>
  <si>
    <t xml:space="preserve">Sourcing teams.</t>
  </si>
  <si>
    <t xml:space="preserve">Clean-label conversion.</t>
  </si>
  <si>
    <t xml:space="preserve">TraceGains supplier network + trading houses.</t>
  </si>
  <si>
    <t xml:space="preserve">Thin.</t>
  </si>
  <si>
    <t xml:space="preserve">Sourcing muscle.</t>
  </si>
  <si>
    <t xml:space="preserve">67→63.</t>
  </si>
  <si>
    <t xml:space="preserve">Mfrs/distributors.</t>
  </si>
  <si>
    <t xml:space="preserve">Organics bans.</t>
  </si>
  <si>
    <t xml:space="preserve">Spoiler Alert (Danone-deployed) owns B2B surplus.</t>
  </si>
  <si>
    <t xml:space="preserve">68→66.</t>
  </si>
  <si>
    <t xml:space="preserve">2026-28.</t>
  </si>
  <si>
    <t xml:space="preserve">Mid-size mfrs.</t>
  </si>
  <si>
    <t xml:space="preserve">Dyes/GRAS/states.</t>
  </si>
  <si>
    <t xml:space="preserve">TraceGains (networked, dominant) + FoodChainID ID Mentor.</t>
  </si>
  <si>
    <t xml:space="preserve">None vs network incumbents.</t>
  </si>
  <si>
    <t xml:space="preserve">Weak FMF.</t>
  </si>
  <si>
    <t xml:space="preserve">67→62.</t>
  </si>
  <si>
    <t xml:space="preserve">Per-SKU.</t>
  </si>
  <si>
    <t xml:space="preserve">R&amp;D.</t>
  </si>
  <si>
    <t xml:space="preserve">Same.</t>
  </si>
  <si>
    <t xml:space="preserve">TraceGains/FoodChainID + flavor houses' services.</t>
  </si>
  <si>
    <t xml:space="preserve">Formulation science not his edge.</t>
  </si>
  <si>
    <t xml:space="preserve">66→60.</t>
  </si>
  <si>
    <t xml:space="preserve">Reg teams.</t>
  </si>
  <si>
    <t xml:space="preserve">States.</t>
  </si>
  <si>
    <t xml:space="preserve">FoodChainID, Decernis, TraceGains modules.</t>
  </si>
  <si>
    <t xml:space="preserve">58→56.</t>
  </si>
  <si>
    <t xml:space="preserve">Mid procurement.</t>
  </si>
  <si>
    <t xml:space="preserve">Tariffs.</t>
  </si>
  <si>
    <t xml:space="preserve">Hedging advisors, StoneX-type services, ChAI.</t>
  </si>
  <si>
    <t xml:space="preserve">59→58.</t>
  </si>
  <si>
    <t xml:space="preserve">Rolling.</t>
  </si>
  <si>
    <t xml:space="preserve">Pkg/reg teams.</t>
  </si>
  <si>
    <t xml:space="preserve">7 EPR + 12 PFAS.</t>
  </si>
  <si>
    <t xml:space="preserve">Specright (Gartner Cool Vendor, Lorax partner) + full EPR provider directory incl AI fee-simulators.</t>
  </si>
  <si>
    <t xml:space="preserve">66→62.</t>
  </si>
  <si>
    <t xml:space="preserve">Annual.</t>
  </si>
  <si>
    <t xml:space="preserve">Specright IS this ('single source of truth' for EPR data).</t>
  </si>
  <si>
    <t xml:space="preserve">Per-design.</t>
  </si>
  <si>
    <t xml:space="preserve">Designers.</t>
  </si>
  <si>
    <t xml:space="preserve">Eco-modulation.</t>
  </si>
  <si>
    <t xml:space="preserve">AI EPR platforms already list 'design tradeoff simulation, fee forecasting'.</t>
  </si>
  <si>
    <t xml:space="preserve">Claimed.</t>
  </si>
  <si>
    <t xml:space="preserve">62→58.</t>
  </si>
  <si>
    <t xml:space="preserve">Per-shipment.</t>
  </si>
  <si>
    <t xml:space="preserve">Suppliers+3PLs.</t>
  </si>
  <si>
    <t xml:space="preserve">Walmart-privatized FSMA.</t>
  </si>
  <si>
    <t xml:space="preserve">ReposiTrak network (8.2M supplier records), Trustwell/FoodLogiQ, iFoodDS+TraceGains alliance, IBM, rfxcel; SME tiers at $200-800/mo.</t>
  </si>
  <si>
    <t xml:space="preserve">Network effects entrenched.</t>
  </si>
  <si>
    <t xml:space="preserve">Traceability edge insufficient vs networks.</t>
  </si>
  <si>
    <t xml:space="preserve">71→65: ReposiTrak network decisive.</t>
  </si>
  <si>
    <t xml:space="preserve">Per-event.</t>
  </si>
  <si>
    <t xml:space="preserve">QA+SC.</t>
  </si>
  <si>
    <t xml:space="preserve">Blast-radius era.</t>
  </si>
  <si>
    <t xml:space="preserve">Same traceability arena + Sedgwick recall services.</t>
  </si>
  <si>
    <t xml:space="preserve">Same gate.</t>
  </si>
  <si>
    <t xml:space="preserve">71→67: same arena as S4-US-02.</t>
  </si>
  <si>
    <t xml:space="preserve">Seasonal.</t>
  </si>
  <si>
    <t xml:space="preserve">Shippers.</t>
  </si>
  <si>
    <t xml:space="preserve">Digital freight brokers (CHR, Flexport-class, reefer specialists).</t>
  </si>
  <si>
    <t xml:space="preserve">63→60.</t>
  </si>
  <si>
    <t xml:space="preserve">Planners.</t>
  </si>
  <si>
    <t xml:space="preserve">Entrenched coping; planning incumbents; retailer data paywalls.</t>
  </si>
  <si>
    <t xml:space="preserve">None (parked Week 1).</t>
  </si>
  <si>
    <t xml:space="preserve">58: confirm Week-1 park→kill.</t>
  </si>
  <si>
    <t xml:space="preserve">Oracle/SAP/Exceedra/UpClear + Vividly/Confido; POS data gate.</t>
  </si>
  <si>
    <t xml:space="preserve">Data kill-gate.</t>
  </si>
  <si>
    <t xml:space="preserve">59 held.</t>
  </si>
  <si>
    <t xml:space="preserve">Crowded (see S4-US-01).</t>
  </si>
  <si>
    <t xml:space="preserve">64 held.</t>
  </si>
  <si>
    <t xml:space="preserve">Confido module etc.</t>
  </si>
  <si>
    <t xml:space="preserve">60→58.</t>
  </si>
  <si>
    <t xml:space="preserve">TrewUp/Floret/JAVE/RemitParse/Glimpse/Confido.</t>
  </si>
  <si>
    <t xml:space="preserve">54: desk-falsified.</t>
  </si>
  <si>
    <t xml:space="preserve">Crowded measurement; retailer owns cause+data.</t>
  </si>
  <si>
    <t xml:space="preserve">59.</t>
  </si>
  <si>
    <t xml:space="preserve">C&amp;S/UNFI programs.</t>
  </si>
  <si>
    <t xml:space="preserve">54.</t>
  </si>
  <si>
    <t xml:space="preserve">Trax/FORM merger; Vision Group; mature.</t>
  </si>
  <si>
    <t xml:space="preserve">52.</t>
  </si>
  <si>
    <t xml:space="preserve">Claroty/Dragos own it.</t>
  </si>
  <si>
    <t xml:space="preserve">PROBLEM INVENTORY (raw pool from MAP mode)</t>
  </si>
  <si>
    <t xml:space="preserve">Every problem harvested in MAP mode lands here, unfiltered. EVALUATE mode pulls batches from this pool; survivors that get scored move to the Tracker tab.</t>
  </si>
  <si>
    <t xml:space="preserve">Industry/Vertical</t>
  </si>
  <si>
    <t xml:space="preserve">Geography</t>
  </si>
  <si>
    <t xml:space="preserve">Step / Segment</t>
  </si>
  <si>
    <t xml:space="preserve">Sufferer</t>
  </si>
  <si>
    <t xml:space="preserve">What breaks (the task that fails)</t>
  </si>
  <si>
    <t xml:space="preserve">What it costs</t>
  </si>
  <si>
    <t xml:space="preserve">Status</t>
  </si>
  <si>
    <t xml:space="preserve">F&amp;B / CPG</t>
  </si>
  <si>
    <t xml:space="preserve">Procurement teams at processors / branded FMCG</t>
  </si>
  <si>
    <t xml:space="preserve">Assembling consistent, large volumes of uniform-quality produce from fragmented smallholders fails — high transaction costs, quality control breaks down</t>
  </si>
  <si>
    <t xml:space="preserve">Factory-gate rejections, intermediary premiums, chronic under-capacity of plants vs demand</t>
  </si>
  <si>
    <t xml:space="preserve">Raw</t>
  </si>
  <si>
    <t xml:space="preserve">Processors of seasonal crops</t>
  </si>
  <si>
    <t xml:space="preserve">Matching harvest-window raw-material supply to year-round processing capacity fails — reject supply or hold produce without adequate facilities</t>
  </si>
  <si>
    <t xml:space="preserve">Lean-season input premiums, working capital locked in buy-and-store, off-season utilization collapse</t>
  </si>
  <si>
    <t xml:space="preserve">Farmers, FPOs, aggregators moving perishables</t>
  </si>
  <si>
    <t xml:space="preserve">Getting produce through sorting, packing and first transport before spoilage fails — ~33% of agri production lost post-harvest (~49.9M MT/yr horticulture)</t>
  </si>
  <si>
    <t xml:space="preserve">Farmer realization 10–23% of consumer price (vs 64–81% US/EU); ~Rs 90,000 crore of food lost annually</t>
  </si>
  <si>
    <t xml:space="preserve">Buyers at farmgate (processor agents, FPOs, mandi purchasers)</t>
  </si>
  <si>
    <t xml:space="preserve">Objectively grading quality at point of purchase fails — assessment is visual, manual, disputed</t>
  </si>
  <si>
    <t xml:space="preserve">Pricing disputes, adulteration leakage, downstream factory-gate rejections</t>
  </si>
  <si>
    <t xml:space="preserve">Exporters and branded processors needing farm-level traceability</t>
  </si>
  <si>
    <t xml:space="preserve">Documenting origin through farmer → agent → wholesaler chain fails — the auction system structurally strips provenance</t>
  </si>
  <si>
    <t xml:space="preserve">Rejected export consignments, forfeited certified-produce premiums, audit scramble</t>
  </si>
  <si>
    <t xml:space="preserve">FPOs and cooperatives</t>
  </si>
  <si>
    <t xml:space="preserve">Recurring GST/ITC compliance and formal accounting fails — limited accounting capacity; 18% GST on warehousing/cold chain raises infra cost</t>
  </si>
  <si>
    <t xml:space="preserve">Structural cost disadvantage vs integrated agribusiness; suppressed FPO viability</t>
  </si>
  <si>
    <t xml:space="preserve">Contract manufacturers with idle capacity + brands hunting vetted capacity</t>
  </si>
  <si>
    <t xml:space="preserve">Matching spare qualified capacity to demand fails — discovery runs on brokers and word-of-mouth across a fragmented MSME landscape</t>
  </si>
  <si>
    <t xml:space="preserve">Idle fixed cost for CMs; months-long search, MOQ mismatch, duplicated audits for brands</t>
  </si>
  <si>
    <t xml:space="preserve">MSME food processors and contract manufacturers</t>
  </si>
  <si>
    <t xml:space="preserve">Clearing FSSAI/BIS/buyer audits fails — required quality, certification, traceability investment exceeds small-unit capacity (769+ BIS QCO products; FSSAI surge)</t>
  </si>
  <si>
    <t xml:space="preserve">Penalties (Rs 155 cr FY25-26 industry-wide), lost brand contracts, remediation spend, export exclusion</t>
  </si>
  <si>
    <t xml:space="preserve">Plant operations teams (branded + contract plants)</t>
  </si>
  <si>
    <t xml:space="preserve">Scheduling proliferating SKUs (q-commerce packs, regional variants) without destroying OEE fails as run lengths shrink</t>
  </si>
  <si>
    <t xml:space="preserve">Changeover downtime, startup waste, missed fill rates</t>
  </si>
  <si>
    <t xml:space="preserve">Production planners at agri-linked processors</t>
  </si>
  <si>
    <t xml:space="preserve">Building a feasible production plan when raw-material arrival timing, volume and quality are all stochastic fails — plans rebuilt reactively</t>
  </si>
  <si>
    <t xml:space="preserve">Expediting, utilization loss, service-level misses</t>
  </si>
  <si>
    <t xml:space="preserve">Brands outsourcing to contract manufacturers</t>
  </si>
  <si>
    <t xml:space="preserve">Continuously verifying quality/compliance at plants they don't operate fails — oversight is periodic-audit-based</t>
  </si>
  <si>
    <t xml:space="preserve">Recall exposure, brand damage, audit travel and duplication</t>
  </si>
  <si>
    <t xml:space="preserve">Compliance/packaging teams at brand owners (incl. mid-size and regional)</t>
  </si>
  <si>
    <t xml:space="preserve">Assembling an auditable plastic footprint (tonnage by category, recycled content, verified-recycler certificates) fails — data scattered across converters/recyclers; enforcement now digital and physical-verification based</t>
  </si>
  <si>
    <t xml:space="preserve">Crore-level penalty exposure, certificate over-purchase as insurance, market-access risk</t>
  </si>
  <si>
    <t xml:space="preserve">Brands built on sachet/MLP formats</t>
  </si>
  <si>
    <t xml:space="preserve">Meeting shelf-life and price-point requirements with formats that satisfy rising recyclability/recycled-content rules fails — MLP structurally non-recyclable, EPR cost escalating (2026 EC-rate hike)</t>
  </si>
  <si>
    <t xml:space="preserve">Highest per-kg EPR obligation, or redesign risking shelf life and Rs 5/10 price architecture</t>
  </si>
  <si>
    <t xml:space="preserve">Procurement at brands and converters</t>
  </si>
  <si>
    <t xml:space="preserve">Sourcing certified food-grade rPET/rHDPE at mandated, rising percentages fails against thin domestic supply of food-contact recyclate</t>
  </si>
  <si>
    <t xml:space="preserve">Premium pricing, certificate purchases in lieu, non-compliance risk</t>
  </si>
  <si>
    <t xml:space="preserve">Regulatory teams at food brands</t>
  </si>
  <si>
    <t xml:space="preserve">Keeping every SKU's label compliant (FSSAI display rules, recyclability marking, QR mandates) across frequent rule changes fails on email-and-PDF artwork control</t>
  </si>
  <si>
    <t xml:space="preserve">Relabeling runs, stock write-offs, penalty exposure amid enforcement surge</t>
  </si>
  <si>
    <t xml:space="preserve">Brands sourcing from MSME converters</t>
  </si>
  <si>
    <t xml:space="preserve">Verifying migration-test compliance, food-contact safety, and EPR-relevant material claims across small suppliers fails — audit capacity doesn't scale down</t>
  </si>
  <si>
    <t xml:space="preserve">Recall/contamination exposure, supplier churn, duplicated audits</t>
  </si>
  <si>
    <t xml:space="preserve">FPOs, aggregators, processors, q-commerce/retail buyers of fresh produce</t>
  </si>
  <si>
    <t xml:space="preserve">Moving perishables from farmgate through aggregation to city DCs within shelf life fails — capacity skewed to few commodities/belts; pack-house/pre-cooling missing at origin</t>
  </si>
  <si>
    <t xml:space="preserve">Post-harvest losses (~Rs 90,000 cr/yr land here); buyers over-order to compensate, compounding waste</t>
  </si>
  <si>
    <t xml:space="preserve">Fragmented cold-store owners + shippers needing multi-temp capacity</t>
  </si>
  <si>
    <t xml:space="preserve">Matching available temperature-controlled space/trucks to demand fails — no liquid marketplace; discovery relational; assets seasonal-empty in potato belts while compliant capacity scarce elsewhere</t>
  </si>
  <si>
    <t xml:space="preserve">Idle-asset losses for owners; premium spot rates and service failures for shippers</t>
  </si>
  <si>
    <t xml:space="preserve">Cold-store and reefer operators</t>
  </si>
  <si>
    <t xml:space="preserve">Holding temperature economically fails against grid unreliability — electricity dominates opex, diesel backup inflates cost</t>
  </si>
  <si>
    <t xml:space="preserve">Opex at 15–40% of capex annually; margin erosion; temperature excursions when economizing</t>
  </si>
  <si>
    <t xml:space="preserve">Brands/processors shipping temperature-sensitive goods via third parties</t>
  </si>
  <si>
    <t xml:space="preserve">Proving unbroken cold chain across fragmented custody (truck → hub → truck → dark store) fails — monitoring gaps; excursion liability undocumented and disputed</t>
  </si>
  <si>
    <t xml:space="preserve">Spoilage write-offs, rejected consignments, claims friction, expiry-driven returns downstream</t>
  </si>
  <si>
    <t xml:space="preserve">Supply planners at FMCG brands and q-commerce platforms</t>
  </si>
  <si>
    <t xml:space="preserve">Positioning fresh/short-dated inventory across plant → mother DC → city hub → dark store echelons fails — demand volatile at 2–4 km granularity, shelf life in days</t>
  </si>
  <si>
    <t xml:space="preserve">Simultaneous stockouts and expiry-driven waste at dark stores</t>
  </si>
  <si>
    <t xml:space="preserve">Seam 3→4 · Pack × Move</t>
  </si>
  <si>
    <t xml:space="preserve">Brand packaging + supply chain leadership (jointly unowned)</t>
  </si>
  <si>
    <t xml:space="preserve">Designing packs against total landed cost (transit damage, cube, cold-chain dependence) fails — packaging optimized for shelf/unit cost in one department, transit and temperature costs land in another</t>
  </si>
  <si>
    <t xml:space="preserve">Transit damage, cube waste, avoidable reefer dependence (joint redesign proved −70% logistics cost)</t>
  </si>
  <si>
    <t xml:space="preserve">Distributors + brand commercial teams</t>
  </si>
  <si>
    <t xml:space="preserve">Tracking scheme eligibility, filing claims, collecting settlements fails — cycles run 30–90 days; unclaimed incentives leak 0.5–1.5% of revenue on 3–15% margins</t>
  </si>
  <si>
    <t xml:space="preserve">The biggest hidden cost of distribution; trust erosion fueling the AICPDF revolt</t>
  </si>
  <si>
    <t xml:space="preserve">Distributors funding retailer credit</t>
  </si>
  <si>
    <t xml:space="preserve">Financing 30–45-day floats while q-commerce diverts volume fails — credit cycles stretch as retailer footfall drops</t>
  </si>
  <si>
    <t xml:space="preserve">WC interest 0.6–1.25% of revenue, defaults 0.25–1%, exit of good distributors</t>
  </si>
  <si>
    <t xml:space="preserve">Brand sales leadership</t>
  </si>
  <si>
    <t xml:space="preserve">Maintaining MOP parity across GT/MT/e-comm/q-comm fails — same SKUs at different prices simultaneously; no real-time visibility into who discounts what where</t>
  </si>
  <si>
    <t xml:space="preserve">Distributor compensation demands, GT erosion (25–30% monthly declines in worst 2024 stretch), brand-equity damage</t>
  </si>
  <si>
    <t xml:space="preserve">Regional (Rs 50–500 cr) brands expanding beyond home states</t>
  </si>
  <si>
    <t xml:space="preserve">Seeing and managing secondary sales (distributor → retailer) in new territories fails — the home-state machine doesn't transplant</t>
  </si>
  <si>
    <t xml:space="preserve">Failed state expansions, dead stock, distributor churn, bloated working capital</t>
  </si>
  <si>
    <t xml:space="preserve">Distributors and brands jointly</t>
  </si>
  <si>
    <t xml:space="preserve">Processing expiry/damage returns fails — no guaranteed timelines or clean documentation (explicit AICPDF demand)</t>
  </si>
  <si>
    <t xml:space="preserve">Disputed write-offs on top of 0.5–2% spoilage leakage; cash stuck in limbo</t>
  </si>
  <si>
    <t xml:space="preserve">Kirana owners</t>
  </si>
  <si>
    <t xml:space="preserve">Deciding what to stock and reorder across 1,000+ SKUs fails — runs on memory and salesman push; no velocity or margin-per-SKU data</t>
  </si>
  <si>
    <t xml:space="preserve">Dead stock + stockouts simultaneously on businesses losing footfall to QC; ~2 lakh closures the tail of this</t>
  </si>
  <si>
    <t xml:space="preserve">Q-commerce category and store-ops teams</t>
  </si>
  <si>
    <t xml:space="preserve">Localizing assortment and inventory depth per dark store (2–4 km catchments) for perishables fails at scale — dairy/fresh cold complexity hardest</t>
  </si>
  <si>
    <t xml:space="preserve">Waste + availability misses in the highest-frequency traffic categories</t>
  </si>
  <si>
    <t xml:space="preserve">Brand field-sales organizations</t>
  </si>
  <si>
    <t xml:space="preserve">Knowing on-shelf availability, share of shelf, scheme execution across millions of outlets fails — SFA data self-reported by incentivized salesmen</t>
  </si>
  <si>
    <t xml:space="preserve">Phantom distribution, wasted trade schemes, slow detection of competitive displacement</t>
  </si>
  <si>
    <t xml:space="preserve">Kiranas and their distributors</t>
  </si>
  <si>
    <t xml:space="preserve">Financing inventory on informal credit fails as distributor working capital compresses upstream</t>
  </si>
  <si>
    <t xml:space="preserve">Shrinking assortments; closures concentrated among credit-dependent stores (~80% of kiranas)</t>
  </si>
  <si>
    <t xml:space="preserve">Q-commerce platforms and organized retail</t>
  </si>
  <si>
    <t xml:space="preserve">Tracking remaining shelf life at item/batch level across thousands of high-churn dark stores fails — systems count SKUs, not dates</t>
  </si>
  <si>
    <t xml:space="preserve">Regulatory exposure under 30%-shelf-life/45-day rule; pull-and-waste of near-expiry stock; consumer trust deficit</t>
  </si>
  <si>
    <t xml:space="preserve">Brands and distributors</t>
  </si>
  <si>
    <t xml:space="preserve">Collecting expired/damaged stock, verifying quantities, ensuring certified destruction fails — the reverse chain is unaudited</t>
  </si>
  <si>
    <t xml:space="preserve">Disputed claims; brand liability when forged-date goods resurface; public-health harm</t>
  </si>
  <si>
    <t xml:space="preserve">Brand commercial teams</t>
  </si>
  <si>
    <t xml:space="preserve">Clearing near-dated inventory fails — q-commerce discounting triggers MOP conflict; formal markdown/donation channels barely exist</t>
  </si>
  <si>
    <t xml:space="preserve">Write-offs or channel-conflict fires, chosen weekly</t>
  </si>
  <si>
    <t xml:space="preserve">E-commerce/q-commerce compliance teams</t>
  </si>
  <si>
    <t xml:space="preserve">Satisfying FSSAI (freshness at delivery) and Legal Metrology/DCA (declarations at point of sale) fails — per-item dates never sync brand → platform → listing</t>
  </si>
  <si>
    <t xml:space="preserve">Penalties, listing takedowns, audit scramble</t>
  </si>
  <si>
    <t xml:space="preserve">Mid-size manufacturers (hundreds–thousands of SKUs)</t>
  </si>
  <si>
    <t xml:space="preserve">Tracking which SKU contains which flagged ingredient, which jurisdiction's rule applies when, which substitute is qualified, per-SKU re-validation status fails — spreadsheets vs 20+ state regimes; conversions take 6–12 months</t>
  </si>
  <si>
    <t xml:space="preserve">Fines to $10k/violation (WV), delisting vs retailer mandates, stranded packaging/inventory</t>
  </si>
  <si>
    <t xml:space="preserve">R&amp;D + procurement replacing functional ingredients</t>
  </si>
  <si>
    <t xml:space="preserve">Finding and qualifying replacements that survive the product matrix (pH, heat, light, shelf life) AND supply at scale fails — natural colors 5–15x cost, 10–50x use levels</t>
  </si>
  <si>
    <t xml:space="preserve">Delayed launches, failed consumer tests, duplicated trial work across SKUs</t>
  </si>
  <si>
    <t xml:space="preserve">Sourcing teams dependent on crop-based specialty inputs</t>
  </si>
  <si>
    <t xml:space="preserve">Securing multi-season supply at consistent spec fails — crop yields, seasonality, shortages; some inputs need cold chain</t>
  </si>
  <si>
    <t xml:space="preserve">Shortage premiums, spot-buy exposure, line stoppages (2026-27 color crunch = sharpest current expression)</t>
  </si>
  <si>
    <t xml:space="preserve">Procurement at mid-size manufacturers without commodity desks</t>
  </si>
  <si>
    <t xml:space="preserve">Forecasting and locking input costs fails amid extreme dispersion (beef +12.9%, coffee +17.5% y/y vs wheat/sugar lows) plus tariff pass-through</t>
  </si>
  <si>
    <t xml:space="preserve">Margin whiplash; mispriced annual retailer contracts that won't reopen</t>
  </si>
  <si>
    <t xml:space="preserve">Regulatory/compliance teams</t>
  </si>
  <si>
    <t xml:space="preserve">Maintaining an authoritative SKU × ingredient × jurisdiction × effective-date map fails — federal phase-out voluntary, real teeth in shifting state laws and retail standards</t>
  </si>
  <si>
    <t xml:space="preserve">Compliance-by-panic, over-conservative reformulation, legal spend</t>
  </si>
  <si>
    <t xml:space="preserve">Plant managers, 24/7 perishable operations</t>
  </si>
  <si>
    <t xml:space="preserve">Staffing production, sanitation, inspection roles fails — 622k mfg jobs unfilled, 2.1M projected vacant by 2030</t>
  </si>
  <si>
    <t xml:space="preserve">Slowed output, spoilage of perishable WIP, overtime burn, sanitation compliance risk</t>
  </si>
  <si>
    <t xml:space="preserve">Mid-market manufacturers</t>
  </si>
  <si>
    <t xml:space="preserve">Specifying, justifying, implementing automation fails — upfront cost exceeds reserves; benefits can't be quantified financially; adoption skews to large corporations</t>
  </si>
  <si>
    <t xml:space="preserve">Widening unit-cost gap vs scaled competitors; permanent labor exposure</t>
  </si>
  <si>
    <t xml:space="preserve">Maintenance leads on aging lines</t>
  </si>
  <si>
    <t xml:space="preserve">Sustaining uptime with shrinking skilled-technician headcount fails — roles notoriously hard to fill; knowledge retires</t>
  </si>
  <si>
    <t xml:space="preserve">Unplanned downtime (predictive-AI benchmark: −75%), overtime, cannibalized planned maintenance</t>
  </si>
  <si>
    <t xml:space="preserve">Ops + R&amp;D at manufacturers converting portfolios</t>
  </si>
  <si>
    <t xml:space="preserve">Running line trials, scale-up, packaging changes across dozens–hundreds of SKUs in parallel fails — each is effectively a new launch</t>
  </si>
  <si>
    <t xml:space="preserve">Trial downtime on revenue lines, launch slips, capex surprises</t>
  </si>
  <si>
    <t xml:space="preserve">Plant IT/OT owners</t>
  </si>
  <si>
    <t xml:space="preserve">Securing rapidly connected equipment fails — next-gen automation without security exposes process data and uptime</t>
  </si>
  <si>
    <t xml:space="preserve">Breach/ransomware downtime risk on thin-margin perishable throughput</t>
  </si>
  <si>
    <t xml:space="preserve">Packaging/regulatory teams at national CPG brands</t>
  </si>
  <si>
    <t xml:space="preserve">Maintaining a packaging-spec × state × program × deadline map (7 EPR + 12 PFAS regimes + PCR + labeling, stacked) fails in spreadsheets</t>
  </si>
  <si>
    <t xml:space="preserve">EPR fees to ~1% of sales per jurisdiction, penalties, public noncompliance listing (OR), market-access risk</t>
  </si>
  <si>
    <t xml:space="preserve">Same teams (root cause under S3-US-01)</t>
  </si>
  <si>
    <t xml:space="preserve">Producing item-level packaging composition data (material, weight, PCR%, recyclability class per state) for annual PRO reports fails — never captured in ERP/PLM</t>
  </si>
  <si>
    <t xml:space="preserve">Manual data archaeology every cycle, misreported fees, audit exposure</t>
  </si>
  <si>
    <t xml:space="preserve">Packaging engineers + procurement</t>
  </si>
  <si>
    <t xml:space="preserve">Replacing PFAS-bearing barriers and proving it (no intentional PFAS, 100 ppm TOF, certificates with test data) fails across fragmented supplier bases</t>
  </si>
  <si>
    <t xml:space="preserve">Testing spend, supplier requalification cycles, state penalties, delisting</t>
  </si>
  <si>
    <t xml:space="preserve">Packaging designers at brands</t>
  </si>
  <si>
    <t xml:space="preserve">Choosing formats/materials minimizing stacked eco-modulated fees across states while preserving shelf life and line speed fails — no design tooling encodes the fee landscape</t>
  </si>
  <si>
    <t xml:space="preserve">Avoidable recurring fees (credits to 10% left on table) or redesigns breaking production economics</t>
  </si>
  <si>
    <t xml:space="preserve">Supply chain + finance at suppliers into major retailers</t>
  </si>
  <si>
    <t xml:space="preserve">Hitting 95–98% OTIF across retailers with different metrics/windows/portals, then auditing and disputing automated chargebacks fails — only 20–30% of deductions disputed though many invalid</t>
  </si>
  <si>
    <t xml:space="preserve">~3% of COGS per violation as recurring P&amp;L leak; analyst time buried in non-reconciling programs</t>
  </si>
  <si>
    <t xml:space="preserve">Mid-size suppliers and their 3PLs/co-packers</t>
  </si>
  <si>
    <t xml:space="preserve">Capturing and transmitting lot-level KDEs at each CTE to retailer spec fails across mixed paper/WMS environments — clock is buyer-driven (Walmart now; 2-hour demands) despite FDA 2028</t>
  </si>
  <si>
    <t xml:space="preserve">Chargebacks, delisting risk, panic-priced consulting/IT projects</t>
  </si>
  <si>
    <t xml:space="preserve">Cold-storage operators and self-storing manufacturers</t>
  </si>
  <si>
    <t xml:space="preserve">Maintaining temperature integrity and throughput on 37-year-old refrigeration plants fails — retrofit-vs-rebuild capital decision under oversupply-suppressed rates</t>
  </si>
  <si>
    <t xml:space="preserve">Energy waste (automation benchmark: −66% available), excursion losses, deferred-maintenance risk</t>
  </si>
  <si>
    <t xml:space="preserve">Transportation teams at perishables shippers</t>
  </si>
  <si>
    <t xml:space="preserve">Securing reefer capacity at predictable cost across seasonal swings fails between rigid annual RFPs and volatile spot</t>
  </si>
  <si>
    <t xml:space="preserve">Budget overruns in surge windows; service failures feeding OTIF fines (3-step cost cascade)</t>
  </si>
  <si>
    <t xml:space="preserve">Network planners at manufacturers/3PLs</t>
  </si>
  <si>
    <t xml:space="preserve">Deciding where to hold which inventory at which temperature fails as GLP-1-era demand and e-grocery reshape flows against long-lease fixed assets</t>
  </si>
  <si>
    <t xml:space="preserve">Stranded capacity (20-yr-high vacancy partly this mismatch monetized), expedited transfers, lost fresh shelf life</t>
  </si>
  <si>
    <t xml:space="preserve">Seam 4→5 · Delivery × Settlement</t>
  </si>
  <si>
    <t xml:space="preserve">Supply planners at suppliers into major retailers</t>
  </si>
  <si>
    <t xml:space="preserve">Planning production/inventory against volatile retailer POs without shared forecasts fails — buffer stock is the only defense while OTIF punishes both directions; POS data behind paywalls</t>
  </si>
  <si>
    <t xml:space="preserve">Inflated safety stock plus fines when buffers miss; working capital as insurance</t>
  </si>
  <si>
    <t xml:space="preserve">Trade/finance teams at CPG brands</t>
  </si>
  <si>
    <t xml:space="preserve">Proving which promotions generated incremental lift fails — overlapping promos planned in spreadsheets across dozens of retailers with distinct calendars/compliance</t>
  </si>
  <si>
    <t xml:space="preserve">The ineffective 25–70% of a 15–25%-of-gross-sales budget; tens of millions per $1B revenue</t>
  </si>
  <si>
    <t xml:space="preserve">AR/finance at suppliers of all sizes</t>
  </si>
  <si>
    <t xml:space="preserve">Matching each short-pay to its promotion, validating, disputing invalid ones fails — hours weekly of manual reconciliation; vague justifications</t>
  </si>
  <si>
    <t xml:space="preserve">1–2% of trade spend routinely invalid and unrecovered; analyst labor; small companies lack bandwidth entirely</t>
  </si>
  <si>
    <t xml:space="preserve">CFOs at CPG companies</t>
  </si>
  <si>
    <t xml:space="preserve">Maintaining accurate trade accruals fails — trade is contra-revenue; inaccurate planning distorts understanding of true profitability</t>
  </si>
  <si>
    <t xml:space="preserve">Earnings surprises, mispriced customers, audit pain</t>
  </si>
  <si>
    <t xml:space="preserve">Emerging brands selling via UNFI/KeHE</t>
  </si>
  <si>
    <t xml:space="preserve">Seeing sell-through, chargebacks (MCBs, free fills, spoilage allowances) and true net price by retailer fails — wholesaler statements notoriously opaque</t>
  </si>
  <si>
    <t xml:space="preserve">Discovering per-case losses quarters later; a known emerging-brand killer</t>
  </si>
  <si>
    <t xml:space="preserve">Brand marketing/trade leadership</t>
  </si>
  <si>
    <t xml:space="preserve">Measuring incrementality across avg. 6 (heading to 11) retail-media networks with non-comparable metrics fails — dashboards show impressions/ROAS, not movement</t>
  </si>
  <si>
    <t xml:space="preserve">39% of ad budget allocated on faith; awareness CPMs 3–5x programmatic for same reach</t>
  </si>
  <si>
    <t xml:space="preserve">Brand/category teams at mid-tier national brands</t>
  </si>
  <si>
    <t xml:space="preserve">Justifying price premiums SKU-by-SKU fails as private label hits 23.8% unit share with perceived quality parity</t>
  </si>
  <si>
    <t xml:space="preserve">Shelf-space losses, forced promo depth (feeding trade-waste loop), tail-SKU delisting</t>
  </si>
  <si>
    <t xml:space="preserve">Independent grocers and their wholesalers</t>
  </si>
  <si>
    <t xml:space="preserve">Matching chain pricing, private-label programs and e-commerce capability at sub-scale fails</t>
  </si>
  <si>
    <t xml:space="preserve">Share loss to Walmart/Aldi/dollar; consolidation pressure (the C&amp;S–SpartanNash logic)</t>
  </si>
  <si>
    <t xml:space="preserve">CPG field teams</t>
  </si>
  <si>
    <t xml:space="preserve">Verifying planogram compliance and paid display execution across thousands of stores fails — audits sparse, self-reported, or crowdsourced</t>
  </si>
  <si>
    <t xml:space="preserve">Paying trade/retail-media dollars for execution that never happened</t>
  </si>
  <si>
    <t xml:space="preserve">Grocery fresh/perishable department managers</t>
  </si>
  <si>
    <t xml:space="preserve">Ordering short-shelf-life product to match store-level demand fails — over-order eats shrink, under-order loses sales</t>
  </si>
  <si>
    <t xml:space="preserve">Retail share of $230B business losses to unsold food; shrink among largest controllable fresh P&amp;L lines</t>
  </si>
  <si>
    <t xml:space="preserve">Manufacturers and distributors holding excess/short-dated inventory</t>
  </si>
  <si>
    <t xml:space="preserve">Deciding fast the best-value destination per lot (discount vs donation+tax benefit vs organics vs landfill) and executing paperwork fails — ad hoc, relationship-based</t>
  </si>
  <si>
    <t xml:space="preserve">Value decay to zero, rising landfill fees under state organics bans, forfeited tax deductions</t>
  </si>
  <si>
    <t xml:space="preserve">QA/regulatory at manufacturers (esp. co-packed, multi-line plants)</t>
  </si>
  <si>
    <t xml:space="preserve">Ensuring the physical package matches the formula (every allergen declared, right film on right line) fails routinely — ~46% of US recalls are labeling failures; reformulation waves raise change volume</t>
  </si>
  <si>
    <t xml:space="preserve">Recall events averaging tens of millions of units; millions per event plus litigation and brand damage</t>
  </si>
  <si>
    <t xml:space="preserve">QA + supply chain at recalling manufacturers</t>
  </si>
  <si>
    <t xml:space="preserve">Scoping exactly which lots/shipments are affected and retrieving them fails without lot-level traceability — companies over-recall entire lines</t>
  </si>
  <si>
    <t xml:space="preserve">The difference between a surgical recall and a 57M-unit quarter</t>
  </si>
  <si>
    <t xml:space="preserve">SHORTLIST TRACKER</t>
  </si>
  <si>
    <t xml:space="preserve">Enter 1–5 in each scored column (D–K). The Score column computes automatically. Sort by Score to rank candidates across weeks.</t>
  </si>
  <si>
    <t xml:space="preserve">Weights →</t>
  </si>
  <si>
    <t xml:space="preserve">Industry</t>
  </si>
  <si>
    <t xml:space="preserve">Week of</t>
  </si>
  <si>
    <t xml:space="preserve">Candidate problem statement</t>
  </si>
  <si>
    <t xml:space="preserve">Founder-
market fit</t>
  </si>
  <si>
    <t xml:space="preserve">Why-
now</t>
  </si>
  <si>
    <t xml:space="preserve">Problem
intensity</t>
  </si>
  <si>
    <t xml:space="preserve">Willing-
ness to pay</t>
  </si>
  <si>
    <t xml:space="preserve">Market
headroom</t>
  </si>
  <si>
    <t xml:space="preserve">Defensi-
bility</t>
  </si>
  <si>
    <t xml:space="preserve">White-
space</t>
  </si>
  <si>
    <t xml:space="preserve">Speed to
customer</t>
  </si>
  <si>
    <t xml:space="preserve">Score
/100</t>
  </si>
  <si>
    <t xml:space="preserve">Kill-gate</t>
  </si>
  <si>
    <t xml:space="preserve">Notes</t>
  </si>
  <si>
    <t xml:space="preserve">(example)</t>
  </si>
  <si>
    <t xml:space="preserve">—</t>
  </si>
  <si>
    <t xml:space="preserve">For X who do Y, the pain is Z … wedge = …</t>
  </si>
  <si>
    <t xml:space="preserve">Pass</t>
  </si>
  <si>
    <t xml:space="preserve">Park</t>
  </si>
  <si>
    <t xml:space="preserve">illustrative only</t>
  </si>
  <si>
    <t xml:space="preserve">SCORING RUBRIC — impact-first weights (revised Jul 2026: FMF de-weighted 20%→5% per Aman; redistributed to severity/WTP/market/whitespace)</t>
  </si>
  <si>
    <t xml:space="preserve">#</t>
  </si>
  <si>
    <t xml:space="preserve">Dimension</t>
  </si>
  <si>
    <t xml:space="preserve">Weight</t>
  </si>
  <si>
    <t xml:space="preserve">What a score of 5 looks like</t>
  </si>
  <si>
    <t xml:space="preserve">Founder-market fit / unfair advantage</t>
  </si>
  <si>
    <t xml:space="preserve">You have access, insight, or skill almost no other founder has here.</t>
  </si>
  <si>
    <t xml:space="preserve">Why-now</t>
  </si>
  <si>
    <t xml:space="preserve">A specific recent catalyst makes this THE moment; couldn't have been built well 3 yrs ago.</t>
  </si>
  <si>
    <t xml:space="preserve">Problem intensity</t>
  </si>
  <si>
    <t xml:space="preserve">Painkiller, not vitamin — people already spend to solve it badly today.</t>
  </si>
  <si>
    <t xml:space="preserve">Willingness &amp; ability to pay</t>
  </si>
  <si>
    <t xml:space="preserve">A clear budget exists and you can name who owns it.</t>
  </si>
  <si>
    <t xml:space="preserve">Market size &amp; headroom</t>
  </si>
  <si>
    <t xml:space="preserve">Enough room/growth to build a business worth your full-time commitment — exit OR durable cash flow.</t>
  </si>
  <si>
    <t xml:space="preserve">Defensibility / moat potential</t>
  </si>
  <si>
    <t xml:space="preserve">A real reason the next entrant or an incumbent can't just copy you.</t>
  </si>
  <si>
    <t xml:space="preserve">Competitive whitespace</t>
  </si>
  <si>
    <t xml:space="preserve">Underserved; incumbents have a structural blind spot.</t>
  </si>
  <si>
    <t xml:space="preserve">Speed to first paying customer</t>
  </si>
  <si>
    <t xml:space="preserve">A signed customer in weeks-to-months, not years.</t>
  </si>
  <si>
    <t xml:space="preserve">Total</t>
  </si>
  <si>
    <t xml:space="preserve">Scoring: rate each dimension 1–5. Weighted score = SUMPRODUCT(scores, weights)/5, normalized to /100. Graduate ≥70.</t>
  </si>
  <si>
    <t xml:space="preserve">Kill gates (any one true → park or kill before scoring): no why-now · no founder edge · no one with budget feels it · needs capital/licenses you can't get · market too thin for a real business.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</si>
</sst>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.5"/>
      <name val="Arial"/>
      <family val="0"/>
      <charset val="1"/>
    </font>
    <font>
      <sz val="8.5"/>
      <name val="Arial"/>
      <family val="0"/>
      <charset val="1"/>
    </font>
    <font>
      <i val="true"/>
      <sz val="8.5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333333"/>
        <bgColor rgb="FF1D3557"/>
      </patternFill>
    </fill>
    <fill>
      <patternFill patternType="solid">
        <fgColor rgb="FFD8F3DC"/>
        <bgColor rgb="FFDDEBF7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2F2F2"/>
      </patternFill>
    </fill>
    <fill>
      <patternFill patternType="solid">
        <fgColor rgb="FFFFFFFF"/>
        <bgColor rgb="FFF2F5F2"/>
      </patternFill>
    </fill>
    <fill>
      <patternFill patternType="solid">
        <fgColor rgb="FF1B4332"/>
        <bgColor rgb="FF1D3557"/>
      </patternFill>
    </fill>
    <fill>
      <patternFill patternType="solid">
        <fgColor rgb="FF1D3557"/>
        <bgColor rgb="FF1F3864"/>
      </patternFill>
    </fill>
    <fill>
      <patternFill patternType="solid">
        <fgColor rgb="FF1F3864"/>
        <bgColor rgb="FF1D3557"/>
      </patternFill>
    </fill>
    <fill>
      <patternFill patternType="solid">
        <fgColor rgb="FFF2F5F2"/>
        <bgColor rgb="FFF2F2F2"/>
      </patternFill>
    </fill>
    <fill>
      <patternFill patternType="solid">
        <fgColor rgb="FFF2F2F2"/>
        <bgColor rgb="FFF2F5F2"/>
      </patternFill>
    </fill>
    <fill>
      <patternFill patternType="solid">
        <fgColor rgb="FF2E5496"/>
        <bgColor rgb="FF1F3864"/>
      </patternFill>
    </fill>
    <fill>
      <patternFill patternType="solid">
        <fgColor rgb="FFDDEBF7"/>
        <bgColor rgb="FFD8F3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DEBF7"/>
      <rgbColor rgb="FF660066"/>
      <rgbColor rgb="FFFF8080"/>
      <rgbColor rgb="FF2E549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2"/>
      <rgbColor rgb="FFD8F3DC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D3557"/>
      <rgbColor rgb="FF339966"/>
      <rgbColor rgb="FF003300"/>
      <rgbColor rgb="FF1B4332"/>
      <rgbColor rgb="FF993300"/>
      <rgbColor rgb="FF993366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2.35" hidden="false" customHeight="false" outlineLevel="0" collapsed="false">
      <c r="A5" s="4" t="s">
        <v>7</v>
      </c>
      <c r="B5" s="4" t="s">
        <v>8</v>
      </c>
      <c r="C5" s="5" t="s">
        <v>9</v>
      </c>
      <c r="D5" s="4" t="n">
        <v>78</v>
      </c>
      <c r="E5" s="4" t="s">
        <v>10</v>
      </c>
    </row>
    <row r="6" customFormat="false" ht="22.35" hidden="false" customHeight="false" outlineLevel="0" collapsed="false">
      <c r="A6" s="4" t="s">
        <v>11</v>
      </c>
      <c r="B6" s="4" t="s">
        <v>12</v>
      </c>
      <c r="C6" s="5" t="s">
        <v>13</v>
      </c>
      <c r="D6" s="4" t="n">
        <v>77</v>
      </c>
      <c r="E6" s="4" t="s">
        <v>14</v>
      </c>
    </row>
    <row r="7" customFormat="false" ht="15" hidden="false" customHeight="false" outlineLevel="0" collapsed="false">
      <c r="A7" s="4" t="s">
        <v>15</v>
      </c>
      <c r="B7" s="4" t="s">
        <v>8</v>
      </c>
      <c r="C7" s="5" t="s">
        <v>16</v>
      </c>
      <c r="D7" s="4" t="n">
        <v>76</v>
      </c>
      <c r="E7" s="4" t="s">
        <v>17</v>
      </c>
    </row>
    <row r="8" customFormat="false" ht="15" hidden="false" customHeight="false" outlineLevel="0" collapsed="false">
      <c r="A8" s="4" t="s">
        <v>18</v>
      </c>
      <c r="B8" s="4" t="s">
        <v>8</v>
      </c>
      <c r="C8" s="5" t="s">
        <v>19</v>
      </c>
      <c r="D8" s="4" t="n">
        <v>75</v>
      </c>
      <c r="E8" s="4" t="s">
        <v>20</v>
      </c>
    </row>
    <row r="9" customFormat="false" ht="22.35" hidden="false" customHeight="false" outlineLevel="0" collapsed="false">
      <c r="A9" s="4" t="s">
        <v>21</v>
      </c>
      <c r="B9" s="4" t="s">
        <v>8</v>
      </c>
      <c r="C9" s="5" t="s">
        <v>22</v>
      </c>
      <c r="D9" s="4" t="n">
        <v>74</v>
      </c>
      <c r="E9" s="4" t="s">
        <v>23</v>
      </c>
    </row>
    <row r="10" customFormat="false" ht="22.35" hidden="false" customHeight="false" outlineLevel="0" collapsed="false">
      <c r="A10" s="4" t="s">
        <v>24</v>
      </c>
      <c r="B10" s="4" t="s">
        <v>8</v>
      </c>
      <c r="C10" s="5" t="s">
        <v>25</v>
      </c>
      <c r="D10" s="4" t="n">
        <v>73</v>
      </c>
      <c r="E10" s="4" t="s">
        <v>26</v>
      </c>
    </row>
    <row r="11" customFormat="false" ht="22.35" hidden="false" customHeight="false" outlineLevel="0" collapsed="false">
      <c r="A11" s="4" t="s">
        <v>27</v>
      </c>
      <c r="B11" s="4" t="s">
        <v>12</v>
      </c>
      <c r="C11" s="5" t="s">
        <v>28</v>
      </c>
      <c r="D11" s="4" t="n">
        <v>73</v>
      </c>
      <c r="E11" s="4" t="s">
        <v>29</v>
      </c>
    </row>
    <row r="12" customFormat="false" ht="15" hidden="false" customHeight="false" outlineLevel="0" collapsed="false">
      <c r="A12" s="4" t="s">
        <v>30</v>
      </c>
      <c r="B12" s="4" t="s">
        <v>8</v>
      </c>
      <c r="C12" s="5" t="s">
        <v>31</v>
      </c>
      <c r="D12" s="4" t="n">
        <v>71</v>
      </c>
      <c r="E12" s="4" t="s">
        <v>32</v>
      </c>
    </row>
    <row r="13" customFormat="false" ht="22.35" hidden="false" customHeight="false" outlineLevel="0" collapsed="false">
      <c r="A13" s="4" t="s">
        <v>33</v>
      </c>
      <c r="B13" s="4" t="s">
        <v>8</v>
      </c>
      <c r="C13" s="5" t="s">
        <v>34</v>
      </c>
      <c r="D13" s="4" t="n">
        <v>71</v>
      </c>
      <c r="E13" s="4" t="s">
        <v>35</v>
      </c>
    </row>
    <row r="14" customFormat="false" ht="15" hidden="false" customHeight="false" outlineLevel="0" collapsed="false">
      <c r="A14" s="4" t="s">
        <v>36</v>
      </c>
      <c r="B14" s="4" t="s">
        <v>12</v>
      </c>
      <c r="C14" s="5" t="s">
        <v>37</v>
      </c>
      <c r="D14" s="4" t="n">
        <v>71</v>
      </c>
      <c r="E14" s="4" t="s">
        <v>38</v>
      </c>
    </row>
    <row r="15" customFormat="false" ht="22.35" hidden="false" customHeight="false" outlineLevel="0" collapsed="false">
      <c r="A15" s="4" t="s">
        <v>39</v>
      </c>
      <c r="B15" s="4" t="s">
        <v>8</v>
      </c>
      <c r="C15" s="5" t="s">
        <v>40</v>
      </c>
      <c r="D15" s="4" t="n">
        <v>70</v>
      </c>
      <c r="E15" s="4" t="s">
        <v>41</v>
      </c>
    </row>
    <row r="17" customFormat="false" ht="15" hidden="false" customHeight="false" outlineLevel="0" collapsed="false">
      <c r="A17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7"/>
    <col collapsed="false" customWidth="true" hidden="false" outlineLevel="0" max="5" min="5" style="0" width="54"/>
    <col collapsed="false" customWidth="true" hidden="false" outlineLevel="0" max="6" min="6" style="0" width="9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7" t="s">
        <v>43</v>
      </c>
    </row>
    <row r="2" customFormat="false" ht="15" hidden="false" customHeight="false" outlineLevel="0" collapsed="false">
      <c r="A2" s="2" t="s">
        <v>44</v>
      </c>
    </row>
    <row r="3" customFormat="false" ht="22.35" hidden="false" customHeight="false" outlineLevel="0" collapsed="false">
      <c r="A3" s="8" t="s">
        <v>45</v>
      </c>
      <c r="B3" s="8" t="s">
        <v>2</v>
      </c>
      <c r="C3" s="8" t="s">
        <v>3</v>
      </c>
      <c r="D3" s="8" t="s">
        <v>46</v>
      </c>
      <c r="E3" s="8" t="s">
        <v>47</v>
      </c>
      <c r="F3" s="8" t="s">
        <v>48</v>
      </c>
      <c r="G3" s="8" t="s">
        <v>49</v>
      </c>
      <c r="H3" s="8" t="s">
        <v>50</v>
      </c>
    </row>
    <row r="4" customFormat="false" ht="37.3" hidden="false" customHeight="false" outlineLevel="0" collapsed="false">
      <c r="A4" s="9" t="n">
        <v>1</v>
      </c>
      <c r="B4" s="9" t="s">
        <v>7</v>
      </c>
      <c r="C4" s="10" t="s">
        <v>8</v>
      </c>
      <c r="D4" s="10" t="s">
        <v>51</v>
      </c>
      <c r="E4" s="10" t="s">
        <v>52</v>
      </c>
      <c r="F4" s="11" t="n">
        <v>78</v>
      </c>
      <c r="G4" s="10" t="s">
        <v>53</v>
      </c>
      <c r="H4" s="10"/>
    </row>
    <row r="5" customFormat="false" ht="37.3" hidden="false" customHeight="false" outlineLevel="0" collapsed="false">
      <c r="A5" s="9" t="n">
        <v>2</v>
      </c>
      <c r="B5" s="9" t="s">
        <v>11</v>
      </c>
      <c r="C5" s="10" t="s">
        <v>12</v>
      </c>
      <c r="D5" s="10" t="s">
        <v>54</v>
      </c>
      <c r="E5" s="10" t="s">
        <v>55</v>
      </c>
      <c r="F5" s="11" t="n">
        <v>77</v>
      </c>
      <c r="G5" s="10" t="s">
        <v>56</v>
      </c>
      <c r="H5" s="10"/>
    </row>
    <row r="6" customFormat="false" ht="37.3" hidden="false" customHeight="false" outlineLevel="0" collapsed="false">
      <c r="A6" s="9" t="n">
        <v>3</v>
      </c>
      <c r="B6" s="9" t="s">
        <v>15</v>
      </c>
      <c r="C6" s="10" t="s">
        <v>8</v>
      </c>
      <c r="D6" s="10" t="s">
        <v>51</v>
      </c>
      <c r="E6" s="10" t="s">
        <v>57</v>
      </c>
      <c r="F6" s="11" t="n">
        <v>76</v>
      </c>
      <c r="G6" s="10" t="s">
        <v>58</v>
      </c>
      <c r="H6" s="10"/>
    </row>
    <row r="7" customFormat="false" ht="37.3" hidden="false" customHeight="false" outlineLevel="0" collapsed="false">
      <c r="A7" s="9" t="n">
        <v>4</v>
      </c>
      <c r="B7" s="9" t="s">
        <v>18</v>
      </c>
      <c r="C7" s="10" t="s">
        <v>8</v>
      </c>
      <c r="D7" s="10" t="s">
        <v>54</v>
      </c>
      <c r="E7" s="10" t="s">
        <v>59</v>
      </c>
      <c r="F7" s="11" t="n">
        <v>75</v>
      </c>
      <c r="G7" s="10" t="s">
        <v>60</v>
      </c>
      <c r="H7" s="10"/>
    </row>
    <row r="8" customFormat="false" ht="37.3" hidden="false" customHeight="false" outlineLevel="0" collapsed="false">
      <c r="A8" s="9" t="n">
        <v>5</v>
      </c>
      <c r="B8" s="9" t="s">
        <v>21</v>
      </c>
      <c r="C8" s="10" t="s">
        <v>8</v>
      </c>
      <c r="D8" s="10" t="s">
        <v>61</v>
      </c>
      <c r="E8" s="10" t="s">
        <v>62</v>
      </c>
      <c r="F8" s="11" t="n">
        <v>74</v>
      </c>
      <c r="G8" s="10" t="s">
        <v>63</v>
      </c>
      <c r="H8" s="10"/>
    </row>
    <row r="9" customFormat="false" ht="28.35" hidden="false" customHeight="false" outlineLevel="0" collapsed="false">
      <c r="A9" s="9" t="n">
        <v>6</v>
      </c>
      <c r="B9" s="9" t="s">
        <v>24</v>
      </c>
      <c r="C9" s="10" t="s">
        <v>8</v>
      </c>
      <c r="D9" s="10" t="s">
        <v>64</v>
      </c>
      <c r="E9" s="10" t="s">
        <v>65</v>
      </c>
      <c r="F9" s="11" t="n">
        <v>73</v>
      </c>
      <c r="G9" s="10" t="s">
        <v>66</v>
      </c>
      <c r="H9" s="10"/>
    </row>
    <row r="10" customFormat="false" ht="15" hidden="false" customHeight="false" outlineLevel="0" collapsed="false">
      <c r="A10" s="9" t="n">
        <v>7</v>
      </c>
      <c r="B10" s="9" t="s">
        <v>27</v>
      </c>
      <c r="C10" s="10" t="s">
        <v>12</v>
      </c>
      <c r="D10" s="10" t="s">
        <v>64</v>
      </c>
      <c r="E10" s="10" t="s">
        <v>67</v>
      </c>
      <c r="F10" s="11" t="n">
        <v>73</v>
      </c>
      <c r="G10" s="10" t="s">
        <v>68</v>
      </c>
      <c r="H10" s="10"/>
    </row>
    <row r="11" customFormat="false" ht="37.3" hidden="false" customHeight="false" outlineLevel="0" collapsed="false">
      <c r="A11" s="9" t="n">
        <v>8</v>
      </c>
      <c r="B11" s="9" t="s">
        <v>30</v>
      </c>
      <c r="C11" s="10" t="s">
        <v>8</v>
      </c>
      <c r="D11" s="10" t="s">
        <v>51</v>
      </c>
      <c r="E11" s="10" t="s">
        <v>69</v>
      </c>
      <c r="F11" s="11" t="n">
        <v>71</v>
      </c>
      <c r="G11" s="10" t="s">
        <v>70</v>
      </c>
      <c r="H11" s="10"/>
    </row>
    <row r="12" customFormat="false" ht="19.4" hidden="false" customHeight="false" outlineLevel="0" collapsed="false">
      <c r="A12" s="9" t="n">
        <v>9</v>
      </c>
      <c r="B12" s="9" t="s">
        <v>33</v>
      </c>
      <c r="C12" s="10" t="s">
        <v>8</v>
      </c>
      <c r="D12" s="10" t="s">
        <v>51</v>
      </c>
      <c r="E12" s="10" t="s">
        <v>71</v>
      </c>
      <c r="F12" s="12" t="n">
        <v>71</v>
      </c>
      <c r="G12" s="10" t="s">
        <v>72</v>
      </c>
      <c r="H12" s="10" t="s">
        <v>73</v>
      </c>
    </row>
    <row r="13" customFormat="false" ht="15" hidden="false" customHeight="false" outlineLevel="0" collapsed="false">
      <c r="A13" s="9" t="n">
        <v>10</v>
      </c>
      <c r="B13" s="9" t="s">
        <v>36</v>
      </c>
      <c r="C13" s="10" t="s">
        <v>12</v>
      </c>
      <c r="D13" s="10" t="s">
        <v>64</v>
      </c>
      <c r="E13" s="10" t="s">
        <v>74</v>
      </c>
      <c r="F13" s="11" t="n">
        <v>71</v>
      </c>
      <c r="G13" s="10" t="s">
        <v>68</v>
      </c>
      <c r="H13" s="10"/>
    </row>
    <row r="14" customFormat="false" ht="28.35" hidden="false" customHeight="false" outlineLevel="0" collapsed="false">
      <c r="A14" s="9" t="n">
        <v>11</v>
      </c>
      <c r="B14" s="9" t="s">
        <v>75</v>
      </c>
      <c r="C14" s="10" t="s">
        <v>8</v>
      </c>
      <c r="D14" s="10" t="s">
        <v>51</v>
      </c>
      <c r="E14" s="10" t="s">
        <v>76</v>
      </c>
      <c r="F14" s="11" t="n">
        <v>70</v>
      </c>
      <c r="G14" s="10" t="s">
        <v>77</v>
      </c>
      <c r="H14" s="10"/>
    </row>
    <row r="15" customFormat="false" ht="37.3" hidden="false" customHeight="false" outlineLevel="0" collapsed="false">
      <c r="A15" s="9" t="n">
        <v>12</v>
      </c>
      <c r="B15" s="9" t="s">
        <v>78</v>
      </c>
      <c r="C15" s="10" t="s">
        <v>8</v>
      </c>
      <c r="D15" s="10" t="s">
        <v>54</v>
      </c>
      <c r="E15" s="10" t="s">
        <v>79</v>
      </c>
      <c r="F15" s="11" t="n">
        <v>70</v>
      </c>
      <c r="G15" s="10" t="s">
        <v>80</v>
      </c>
      <c r="H15" s="10"/>
    </row>
    <row r="16" customFormat="false" ht="28.35" hidden="false" customHeight="false" outlineLevel="0" collapsed="false">
      <c r="A16" s="9" t="n">
        <v>13</v>
      </c>
      <c r="B16" s="9" t="s">
        <v>81</v>
      </c>
      <c r="C16" s="10" t="s">
        <v>12</v>
      </c>
      <c r="D16" s="10" t="s">
        <v>61</v>
      </c>
      <c r="E16" s="10" t="s">
        <v>82</v>
      </c>
      <c r="F16" s="13" t="n">
        <v>69</v>
      </c>
      <c r="G16" s="10" t="s">
        <v>83</v>
      </c>
      <c r="H16" s="10"/>
    </row>
    <row r="17" customFormat="false" ht="15" hidden="false" customHeight="false" outlineLevel="0" collapsed="false">
      <c r="A17" s="9" t="n">
        <v>14</v>
      </c>
      <c r="B17" s="9" t="s">
        <v>84</v>
      </c>
      <c r="C17" s="10" t="s">
        <v>12</v>
      </c>
      <c r="D17" s="10" t="s">
        <v>85</v>
      </c>
      <c r="E17" s="10" t="s">
        <v>86</v>
      </c>
      <c r="F17" s="13" t="n">
        <v>69</v>
      </c>
      <c r="G17" s="10" t="s">
        <v>68</v>
      </c>
      <c r="H17" s="10"/>
    </row>
    <row r="18" customFormat="false" ht="37.3" hidden="false" customHeight="false" outlineLevel="0" collapsed="false">
      <c r="A18" s="9" t="n">
        <v>15</v>
      </c>
      <c r="B18" s="9" t="s">
        <v>87</v>
      </c>
      <c r="C18" s="10" t="s">
        <v>8</v>
      </c>
      <c r="D18" s="10" t="s">
        <v>85</v>
      </c>
      <c r="E18" s="10" t="s">
        <v>88</v>
      </c>
      <c r="F18" s="13" t="n">
        <v>68</v>
      </c>
      <c r="G18" s="10" t="s">
        <v>89</v>
      </c>
      <c r="H18" s="10"/>
    </row>
    <row r="19" customFormat="false" ht="28.35" hidden="false" customHeight="false" outlineLevel="0" collapsed="false">
      <c r="A19" s="9" t="n">
        <v>16</v>
      </c>
      <c r="B19" s="9" t="s">
        <v>90</v>
      </c>
      <c r="C19" s="10" t="s">
        <v>8</v>
      </c>
      <c r="D19" s="10" t="s">
        <v>91</v>
      </c>
      <c r="E19" s="10" t="s">
        <v>92</v>
      </c>
      <c r="F19" s="13" t="n">
        <v>68</v>
      </c>
      <c r="G19" s="10" t="s">
        <v>93</v>
      </c>
      <c r="H19" s="10"/>
    </row>
    <row r="20" customFormat="false" ht="28.35" hidden="false" customHeight="false" outlineLevel="0" collapsed="false">
      <c r="A20" s="9" t="n">
        <v>17</v>
      </c>
      <c r="B20" s="9" t="s">
        <v>94</v>
      </c>
      <c r="C20" s="10" t="s">
        <v>8</v>
      </c>
      <c r="D20" s="10" t="s">
        <v>91</v>
      </c>
      <c r="E20" s="10" t="s">
        <v>95</v>
      </c>
      <c r="F20" s="13" t="n">
        <v>68</v>
      </c>
      <c r="G20" s="10" t="s">
        <v>68</v>
      </c>
      <c r="H20" s="10"/>
    </row>
    <row r="21" customFormat="false" ht="28.35" hidden="false" customHeight="false" outlineLevel="0" collapsed="false">
      <c r="A21" s="9" t="n">
        <v>18</v>
      </c>
      <c r="B21" s="9" t="s">
        <v>96</v>
      </c>
      <c r="C21" s="10" t="s">
        <v>8</v>
      </c>
      <c r="D21" s="10" t="s">
        <v>85</v>
      </c>
      <c r="E21" s="10" t="s">
        <v>97</v>
      </c>
      <c r="F21" s="12" t="n">
        <v>68</v>
      </c>
      <c r="G21" s="10" t="s">
        <v>98</v>
      </c>
      <c r="H21" s="10" t="s">
        <v>73</v>
      </c>
    </row>
    <row r="22" customFormat="false" ht="28.35" hidden="false" customHeight="false" outlineLevel="0" collapsed="false">
      <c r="A22" s="9" t="n">
        <v>19</v>
      </c>
      <c r="B22" s="9" t="s">
        <v>99</v>
      </c>
      <c r="C22" s="10" t="s">
        <v>8</v>
      </c>
      <c r="D22" s="10" t="s">
        <v>85</v>
      </c>
      <c r="E22" s="10" t="s">
        <v>100</v>
      </c>
      <c r="F22" s="13" t="n">
        <v>68</v>
      </c>
      <c r="G22" s="10" t="s">
        <v>68</v>
      </c>
      <c r="H22" s="10"/>
    </row>
    <row r="23" customFormat="false" ht="37.3" hidden="false" customHeight="false" outlineLevel="0" collapsed="false">
      <c r="A23" s="9" t="n">
        <v>20</v>
      </c>
      <c r="B23" s="9" t="s">
        <v>101</v>
      </c>
      <c r="C23" s="10" t="s">
        <v>12</v>
      </c>
      <c r="D23" s="10" t="s">
        <v>61</v>
      </c>
      <c r="E23" s="10" t="s">
        <v>102</v>
      </c>
      <c r="F23" s="13" t="n">
        <v>68</v>
      </c>
      <c r="G23" s="10" t="s">
        <v>103</v>
      </c>
      <c r="H23" s="10"/>
    </row>
    <row r="24" customFormat="false" ht="28.35" hidden="false" customHeight="false" outlineLevel="0" collapsed="false">
      <c r="A24" s="9" t="n">
        <v>21</v>
      </c>
      <c r="B24" s="9" t="s">
        <v>104</v>
      </c>
      <c r="C24" s="10" t="s">
        <v>12</v>
      </c>
      <c r="D24" s="10" t="s">
        <v>54</v>
      </c>
      <c r="E24" s="10" t="s">
        <v>105</v>
      </c>
      <c r="F24" s="13" t="n">
        <v>68</v>
      </c>
      <c r="G24" s="10" t="s">
        <v>106</v>
      </c>
      <c r="H24" s="10"/>
    </row>
    <row r="25" customFormat="false" ht="19.4" hidden="false" customHeight="false" outlineLevel="0" collapsed="false">
      <c r="A25" s="9" t="n">
        <v>22</v>
      </c>
      <c r="B25" s="9" t="s">
        <v>107</v>
      </c>
      <c r="C25" s="10" t="s">
        <v>12</v>
      </c>
      <c r="D25" s="10" t="s">
        <v>51</v>
      </c>
      <c r="E25" s="10" t="s">
        <v>108</v>
      </c>
      <c r="F25" s="13" t="n">
        <v>68</v>
      </c>
      <c r="G25" s="10" t="s">
        <v>109</v>
      </c>
      <c r="H25" s="10"/>
    </row>
    <row r="26" customFormat="false" ht="37.3" hidden="false" customHeight="false" outlineLevel="0" collapsed="false">
      <c r="A26" s="9" t="n">
        <v>23</v>
      </c>
      <c r="B26" s="9" t="s">
        <v>110</v>
      </c>
      <c r="C26" s="10" t="s">
        <v>8</v>
      </c>
      <c r="D26" s="10" t="s">
        <v>61</v>
      </c>
      <c r="E26" s="10" t="s">
        <v>111</v>
      </c>
      <c r="F26" s="13" t="n">
        <v>67</v>
      </c>
      <c r="G26" s="10" t="s">
        <v>112</v>
      </c>
      <c r="H26" s="10"/>
    </row>
    <row r="27" customFormat="false" ht="37.3" hidden="false" customHeight="false" outlineLevel="0" collapsed="false">
      <c r="A27" s="9" t="n">
        <v>24</v>
      </c>
      <c r="B27" s="9" t="s">
        <v>113</v>
      </c>
      <c r="C27" s="10" t="s">
        <v>8</v>
      </c>
      <c r="D27" s="10" t="s">
        <v>61</v>
      </c>
      <c r="E27" s="10" t="s">
        <v>114</v>
      </c>
      <c r="F27" s="12" t="n">
        <v>67</v>
      </c>
      <c r="G27" s="10" t="s">
        <v>115</v>
      </c>
      <c r="H27" s="10" t="s">
        <v>73</v>
      </c>
    </row>
    <row r="28" customFormat="false" ht="19.4" hidden="false" customHeight="false" outlineLevel="0" collapsed="false">
      <c r="A28" s="9" t="n">
        <v>25</v>
      </c>
      <c r="B28" s="9" t="s">
        <v>116</v>
      </c>
      <c r="C28" s="10" t="s">
        <v>12</v>
      </c>
      <c r="D28" s="10" t="s">
        <v>64</v>
      </c>
      <c r="E28" s="10" t="s">
        <v>117</v>
      </c>
      <c r="F28" s="13" t="n">
        <v>67</v>
      </c>
      <c r="G28" s="10" t="s">
        <v>68</v>
      </c>
      <c r="H28" s="10"/>
    </row>
    <row r="29" customFormat="false" ht="15" hidden="false" customHeight="false" outlineLevel="0" collapsed="false">
      <c r="A29" s="9" t="n">
        <v>26</v>
      </c>
      <c r="B29" s="9" t="s">
        <v>118</v>
      </c>
      <c r="C29" s="10" t="s">
        <v>12</v>
      </c>
      <c r="D29" s="10" t="s">
        <v>61</v>
      </c>
      <c r="E29" s="10" t="s">
        <v>119</v>
      </c>
      <c r="F29" s="13" t="n">
        <v>67</v>
      </c>
      <c r="G29" s="10" t="s">
        <v>68</v>
      </c>
      <c r="H29" s="10"/>
    </row>
    <row r="30" customFormat="false" ht="15" hidden="false" customHeight="false" outlineLevel="0" collapsed="false">
      <c r="A30" s="9" t="n">
        <v>27</v>
      </c>
      <c r="B30" s="9" t="s">
        <v>120</v>
      </c>
      <c r="C30" s="10" t="s">
        <v>12</v>
      </c>
      <c r="D30" s="10" t="s">
        <v>121</v>
      </c>
      <c r="E30" s="10" t="s">
        <v>122</v>
      </c>
      <c r="F30" s="13" t="n">
        <v>66</v>
      </c>
      <c r="G30" s="10" t="s">
        <v>68</v>
      </c>
      <c r="H30" s="10"/>
    </row>
    <row r="31" customFormat="false" ht="19.4" hidden="false" customHeight="false" outlineLevel="0" collapsed="false">
      <c r="A31" s="9" t="n">
        <v>28</v>
      </c>
      <c r="B31" s="9" t="s">
        <v>123</v>
      </c>
      <c r="C31" s="10" t="s">
        <v>12</v>
      </c>
      <c r="D31" s="10" t="s">
        <v>54</v>
      </c>
      <c r="E31" s="10" t="s">
        <v>124</v>
      </c>
      <c r="F31" s="13" t="n">
        <v>66</v>
      </c>
      <c r="G31" s="10" t="s">
        <v>68</v>
      </c>
      <c r="H31" s="10"/>
    </row>
    <row r="32" customFormat="false" ht="19.4" hidden="false" customHeight="false" outlineLevel="0" collapsed="false">
      <c r="A32" s="9" t="n">
        <v>29</v>
      </c>
      <c r="B32" s="9" t="s">
        <v>125</v>
      </c>
      <c r="C32" s="10" t="s">
        <v>12</v>
      </c>
      <c r="D32" s="10" t="s">
        <v>54</v>
      </c>
      <c r="E32" s="10" t="s">
        <v>126</v>
      </c>
      <c r="F32" s="12" t="n">
        <v>66</v>
      </c>
      <c r="G32" s="10" t="s">
        <v>98</v>
      </c>
      <c r="H32" s="10" t="s">
        <v>73</v>
      </c>
    </row>
    <row r="33" customFormat="false" ht="19.4" hidden="false" customHeight="false" outlineLevel="0" collapsed="false">
      <c r="A33" s="9" t="n">
        <v>30</v>
      </c>
      <c r="B33" s="9" t="s">
        <v>127</v>
      </c>
      <c r="C33" s="10" t="s">
        <v>8</v>
      </c>
      <c r="D33" s="10" t="s">
        <v>54</v>
      </c>
      <c r="E33" s="10" t="s">
        <v>128</v>
      </c>
      <c r="F33" s="13" t="n">
        <v>65</v>
      </c>
      <c r="G33" s="10" t="s">
        <v>68</v>
      </c>
      <c r="H33" s="10"/>
    </row>
    <row r="34" customFormat="false" ht="15" hidden="false" customHeight="false" outlineLevel="0" collapsed="false">
      <c r="A34" s="9" t="n">
        <v>31</v>
      </c>
      <c r="B34" s="9" t="s">
        <v>129</v>
      </c>
      <c r="C34" s="10" t="s">
        <v>12</v>
      </c>
      <c r="D34" s="10" t="s">
        <v>121</v>
      </c>
      <c r="E34" s="10" t="s">
        <v>130</v>
      </c>
      <c r="F34" s="12" t="n">
        <v>65</v>
      </c>
      <c r="G34" s="10" t="s">
        <v>98</v>
      </c>
      <c r="H34" s="10" t="s">
        <v>73</v>
      </c>
    </row>
    <row r="35" customFormat="false" ht="15" hidden="false" customHeight="false" outlineLevel="0" collapsed="false">
      <c r="A35" s="9" t="n">
        <v>32</v>
      </c>
      <c r="B35" s="9" t="s">
        <v>131</v>
      </c>
      <c r="C35" s="10" t="s">
        <v>12</v>
      </c>
      <c r="D35" s="10" t="s">
        <v>85</v>
      </c>
      <c r="E35" s="10" t="s">
        <v>132</v>
      </c>
      <c r="F35" s="12" t="n">
        <v>65</v>
      </c>
      <c r="G35" s="10" t="s">
        <v>98</v>
      </c>
      <c r="H35" s="10" t="s">
        <v>73</v>
      </c>
    </row>
    <row r="36" customFormat="false" ht="28.35" hidden="false" customHeight="false" outlineLevel="0" collapsed="false">
      <c r="A36" s="9" t="n">
        <v>33</v>
      </c>
      <c r="B36" s="9" t="s">
        <v>133</v>
      </c>
      <c r="C36" s="10" t="s">
        <v>8</v>
      </c>
      <c r="D36" s="10" t="s">
        <v>64</v>
      </c>
      <c r="E36" s="10" t="s">
        <v>134</v>
      </c>
      <c r="F36" s="14" t="n">
        <v>64</v>
      </c>
      <c r="G36" s="10" t="s">
        <v>135</v>
      </c>
      <c r="H36" s="10"/>
    </row>
    <row r="37" customFormat="false" ht="28.35" hidden="false" customHeight="false" outlineLevel="0" collapsed="false">
      <c r="A37" s="9" t="n">
        <v>34</v>
      </c>
      <c r="B37" s="9" t="s">
        <v>136</v>
      </c>
      <c r="C37" s="10" t="s">
        <v>8</v>
      </c>
      <c r="D37" s="10" t="s">
        <v>64</v>
      </c>
      <c r="E37" s="10" t="s">
        <v>137</v>
      </c>
      <c r="F37" s="14" t="n">
        <v>64</v>
      </c>
      <c r="G37" s="10" t="s">
        <v>138</v>
      </c>
      <c r="H37" s="10"/>
    </row>
    <row r="38" customFormat="false" ht="15" hidden="false" customHeight="false" outlineLevel="0" collapsed="false">
      <c r="A38" s="9" t="n">
        <v>35</v>
      </c>
      <c r="B38" s="9" t="s">
        <v>139</v>
      </c>
      <c r="C38" s="10" t="s">
        <v>12</v>
      </c>
      <c r="D38" s="10" t="s">
        <v>64</v>
      </c>
      <c r="E38" s="10" t="s">
        <v>140</v>
      </c>
      <c r="F38" s="12" t="n">
        <v>64</v>
      </c>
      <c r="G38" s="10" t="s">
        <v>98</v>
      </c>
      <c r="H38" s="10" t="s">
        <v>73</v>
      </c>
    </row>
    <row r="39" customFormat="false" ht="15" hidden="false" customHeight="false" outlineLevel="0" collapsed="false">
      <c r="A39" s="9" t="n">
        <v>36</v>
      </c>
      <c r="B39" s="9" t="s">
        <v>141</v>
      </c>
      <c r="C39" s="10" t="s">
        <v>12</v>
      </c>
      <c r="D39" s="10" t="s">
        <v>121</v>
      </c>
      <c r="E39" s="10" t="s">
        <v>142</v>
      </c>
      <c r="F39" s="12" t="n">
        <v>64</v>
      </c>
      <c r="G39" s="10" t="s">
        <v>98</v>
      </c>
      <c r="H39" s="10" t="s">
        <v>73</v>
      </c>
    </row>
    <row r="40" customFormat="false" ht="19.4" hidden="false" customHeight="false" outlineLevel="0" collapsed="false">
      <c r="A40" s="9" t="n">
        <v>37</v>
      </c>
      <c r="B40" s="9" t="s">
        <v>143</v>
      </c>
      <c r="C40" s="10" t="s">
        <v>12</v>
      </c>
      <c r="D40" s="10" t="s">
        <v>61</v>
      </c>
      <c r="E40" s="10" t="s">
        <v>144</v>
      </c>
      <c r="F40" s="12" t="n">
        <v>64</v>
      </c>
      <c r="G40" s="10" t="s">
        <v>98</v>
      </c>
      <c r="H40" s="10" t="s">
        <v>73</v>
      </c>
    </row>
    <row r="41" customFormat="false" ht="28.35" hidden="false" customHeight="false" outlineLevel="0" collapsed="false">
      <c r="A41" s="9" t="n">
        <v>38</v>
      </c>
      <c r="B41" s="9" t="s">
        <v>145</v>
      </c>
      <c r="C41" s="10" t="s">
        <v>8</v>
      </c>
      <c r="D41" s="10" t="s">
        <v>121</v>
      </c>
      <c r="E41" s="10" t="s">
        <v>146</v>
      </c>
      <c r="F41" s="14" t="n">
        <v>63</v>
      </c>
      <c r="G41" s="10" t="s">
        <v>68</v>
      </c>
      <c r="H41" s="10"/>
    </row>
    <row r="42" customFormat="false" ht="19.4" hidden="false" customHeight="false" outlineLevel="0" collapsed="false">
      <c r="A42" s="9" t="n">
        <v>39</v>
      </c>
      <c r="B42" s="9" t="s">
        <v>147</v>
      </c>
      <c r="C42" s="10" t="s">
        <v>12</v>
      </c>
      <c r="D42" s="10" t="s">
        <v>51</v>
      </c>
      <c r="E42" s="10" t="s">
        <v>148</v>
      </c>
      <c r="F42" s="12" t="n">
        <v>63</v>
      </c>
      <c r="G42" s="10" t="s">
        <v>98</v>
      </c>
      <c r="H42" s="10" t="s">
        <v>73</v>
      </c>
    </row>
    <row r="43" customFormat="false" ht="15" hidden="false" customHeight="false" outlineLevel="0" collapsed="false">
      <c r="A43" s="9" t="n">
        <v>40</v>
      </c>
      <c r="B43" s="9" t="s">
        <v>149</v>
      </c>
      <c r="C43" s="10" t="s">
        <v>12</v>
      </c>
      <c r="D43" s="10" t="s">
        <v>64</v>
      </c>
      <c r="E43" s="10" t="s">
        <v>150</v>
      </c>
      <c r="F43" s="12" t="n">
        <v>63</v>
      </c>
      <c r="G43" s="10" t="s">
        <v>98</v>
      </c>
      <c r="H43" s="10" t="s">
        <v>73</v>
      </c>
    </row>
    <row r="44" customFormat="false" ht="19.4" hidden="false" customHeight="false" outlineLevel="0" collapsed="false">
      <c r="A44" s="9" t="n">
        <v>41</v>
      </c>
      <c r="B44" s="9" t="s">
        <v>151</v>
      </c>
      <c r="C44" s="10" t="s">
        <v>8</v>
      </c>
      <c r="D44" s="10" t="s">
        <v>54</v>
      </c>
      <c r="E44" s="10" t="s">
        <v>152</v>
      </c>
      <c r="F44" s="14" t="n">
        <v>62</v>
      </c>
      <c r="G44" s="10" t="s">
        <v>153</v>
      </c>
      <c r="H44" s="10"/>
    </row>
    <row r="45" customFormat="false" ht="19.4" hidden="false" customHeight="false" outlineLevel="0" collapsed="false">
      <c r="A45" s="9" t="n">
        <v>42</v>
      </c>
      <c r="B45" s="9" t="s">
        <v>154</v>
      </c>
      <c r="C45" s="10" t="s">
        <v>8</v>
      </c>
      <c r="D45" s="10" t="s">
        <v>64</v>
      </c>
      <c r="E45" s="10" t="s">
        <v>155</v>
      </c>
      <c r="F45" s="14" t="n">
        <v>62</v>
      </c>
      <c r="G45" s="10" t="s">
        <v>138</v>
      </c>
      <c r="H45" s="10"/>
    </row>
    <row r="46" customFormat="false" ht="19.4" hidden="false" customHeight="false" outlineLevel="0" collapsed="false">
      <c r="A46" s="9" t="n">
        <v>43</v>
      </c>
      <c r="B46" s="9" t="s">
        <v>156</v>
      </c>
      <c r="C46" s="10" t="s">
        <v>8</v>
      </c>
      <c r="D46" s="10" t="s">
        <v>157</v>
      </c>
      <c r="E46" s="10" t="s">
        <v>158</v>
      </c>
      <c r="F46" s="14" t="n">
        <v>62</v>
      </c>
      <c r="G46" s="10" t="s">
        <v>159</v>
      </c>
      <c r="H46" s="10"/>
    </row>
    <row r="47" customFormat="false" ht="28.35" hidden="false" customHeight="false" outlineLevel="0" collapsed="false">
      <c r="A47" s="9" t="n">
        <v>44</v>
      </c>
      <c r="B47" s="9" t="s">
        <v>160</v>
      </c>
      <c r="C47" s="10" t="s">
        <v>8</v>
      </c>
      <c r="D47" s="10" t="s">
        <v>61</v>
      </c>
      <c r="E47" s="10" t="s">
        <v>161</v>
      </c>
      <c r="F47" s="14" t="n">
        <v>62</v>
      </c>
      <c r="G47" s="10" t="s">
        <v>68</v>
      </c>
      <c r="H47" s="10"/>
    </row>
    <row r="48" customFormat="false" ht="15" hidden="false" customHeight="false" outlineLevel="0" collapsed="false">
      <c r="A48" s="9" t="n">
        <v>45</v>
      </c>
      <c r="B48" s="9" t="s">
        <v>162</v>
      </c>
      <c r="C48" s="10" t="s">
        <v>12</v>
      </c>
      <c r="D48" s="10" t="s">
        <v>91</v>
      </c>
      <c r="E48" s="10" t="s">
        <v>163</v>
      </c>
      <c r="F48" s="12" t="n">
        <v>62</v>
      </c>
      <c r="G48" s="10" t="s">
        <v>98</v>
      </c>
      <c r="H48" s="10" t="s">
        <v>73</v>
      </c>
    </row>
    <row r="49" customFormat="false" ht="19.4" hidden="false" customHeight="false" outlineLevel="0" collapsed="false">
      <c r="A49" s="9" t="n">
        <v>46</v>
      </c>
      <c r="B49" s="9" t="s">
        <v>164</v>
      </c>
      <c r="C49" s="10" t="s">
        <v>8</v>
      </c>
      <c r="D49" s="10" t="s">
        <v>61</v>
      </c>
      <c r="E49" s="10" t="s">
        <v>165</v>
      </c>
      <c r="F49" s="14" t="n">
        <v>61</v>
      </c>
      <c r="G49" s="10" t="s">
        <v>68</v>
      </c>
      <c r="H49" s="10"/>
    </row>
    <row r="50" customFormat="false" ht="19.4" hidden="false" customHeight="false" outlineLevel="0" collapsed="false">
      <c r="A50" s="9" t="n">
        <v>47</v>
      </c>
      <c r="B50" s="9" t="s">
        <v>166</v>
      </c>
      <c r="C50" s="10" t="s">
        <v>8</v>
      </c>
      <c r="D50" s="10" t="s">
        <v>121</v>
      </c>
      <c r="E50" s="10" t="s">
        <v>167</v>
      </c>
      <c r="F50" s="12" t="n">
        <v>61</v>
      </c>
      <c r="G50" s="10" t="s">
        <v>98</v>
      </c>
      <c r="H50" s="10" t="s">
        <v>73</v>
      </c>
    </row>
    <row r="51" customFormat="false" ht="19.4" hidden="false" customHeight="false" outlineLevel="0" collapsed="false">
      <c r="A51" s="9" t="n">
        <v>48</v>
      </c>
      <c r="B51" s="9" t="s">
        <v>168</v>
      </c>
      <c r="C51" s="10" t="s">
        <v>8</v>
      </c>
      <c r="D51" s="10" t="s">
        <v>121</v>
      </c>
      <c r="E51" s="10" t="s">
        <v>169</v>
      </c>
      <c r="F51" s="12" t="n">
        <v>60</v>
      </c>
      <c r="G51" s="10" t="s">
        <v>170</v>
      </c>
      <c r="H51" s="10" t="s">
        <v>73</v>
      </c>
    </row>
    <row r="52" customFormat="false" ht="28.35" hidden="false" customHeight="false" outlineLevel="0" collapsed="false">
      <c r="A52" s="9" t="n">
        <v>49</v>
      </c>
      <c r="B52" s="9" t="s">
        <v>171</v>
      </c>
      <c r="C52" s="10" t="s">
        <v>8</v>
      </c>
      <c r="D52" s="10" t="s">
        <v>85</v>
      </c>
      <c r="E52" s="10" t="s">
        <v>172</v>
      </c>
      <c r="F52" s="14" t="n">
        <v>60</v>
      </c>
      <c r="G52" s="10" t="s">
        <v>68</v>
      </c>
      <c r="H52" s="10"/>
    </row>
    <row r="53" customFormat="false" ht="15" hidden="false" customHeight="false" outlineLevel="0" collapsed="false">
      <c r="A53" s="9" t="n">
        <v>50</v>
      </c>
      <c r="B53" s="9" t="s">
        <v>173</v>
      </c>
      <c r="C53" s="10" t="s">
        <v>12</v>
      </c>
      <c r="D53" s="10" t="s">
        <v>121</v>
      </c>
      <c r="E53" s="10" t="s">
        <v>174</v>
      </c>
      <c r="F53" s="12" t="n">
        <v>60</v>
      </c>
      <c r="G53" s="10" t="s">
        <v>98</v>
      </c>
      <c r="H53" s="10" t="s">
        <v>73</v>
      </c>
    </row>
    <row r="54" customFormat="false" ht="15" hidden="false" customHeight="false" outlineLevel="0" collapsed="false">
      <c r="A54" s="9" t="n">
        <v>51</v>
      </c>
      <c r="B54" s="9" t="s">
        <v>175</v>
      </c>
      <c r="C54" s="10" t="s">
        <v>12</v>
      </c>
      <c r="D54" s="10" t="s">
        <v>91</v>
      </c>
      <c r="E54" s="10" t="s">
        <v>176</v>
      </c>
      <c r="F54" s="12" t="n">
        <v>60</v>
      </c>
      <c r="G54" s="10" t="s">
        <v>98</v>
      </c>
      <c r="H54" s="10" t="s">
        <v>73</v>
      </c>
    </row>
    <row r="55" customFormat="false" ht="19.4" hidden="false" customHeight="false" outlineLevel="0" collapsed="false">
      <c r="A55" s="9" t="n">
        <v>52</v>
      </c>
      <c r="B55" s="9" t="s">
        <v>177</v>
      </c>
      <c r="C55" s="10" t="s">
        <v>8</v>
      </c>
      <c r="D55" s="10" t="s">
        <v>64</v>
      </c>
      <c r="E55" s="10" t="s">
        <v>178</v>
      </c>
      <c r="F55" s="14" t="n">
        <v>59</v>
      </c>
      <c r="G55" s="10" t="s">
        <v>68</v>
      </c>
      <c r="H55" s="10"/>
    </row>
    <row r="56" customFormat="false" ht="19.4" hidden="false" customHeight="false" outlineLevel="0" collapsed="false">
      <c r="A56" s="9" t="n">
        <v>53</v>
      </c>
      <c r="B56" s="9" t="s">
        <v>179</v>
      </c>
      <c r="C56" s="10" t="s">
        <v>8</v>
      </c>
      <c r="D56" s="10" t="s">
        <v>121</v>
      </c>
      <c r="E56" s="10" t="s">
        <v>180</v>
      </c>
      <c r="F56" s="14" t="n">
        <v>59</v>
      </c>
      <c r="G56" s="10" t="s">
        <v>68</v>
      </c>
      <c r="H56" s="10"/>
    </row>
    <row r="57" customFormat="false" ht="19.4" hidden="false" customHeight="false" outlineLevel="0" collapsed="false">
      <c r="A57" s="9" t="n">
        <v>54</v>
      </c>
      <c r="B57" s="9" t="s">
        <v>181</v>
      </c>
      <c r="C57" s="10" t="s">
        <v>12</v>
      </c>
      <c r="D57" s="10" t="s">
        <v>51</v>
      </c>
      <c r="E57" s="10" t="s">
        <v>182</v>
      </c>
      <c r="F57" s="12" t="n">
        <v>59</v>
      </c>
      <c r="G57" s="10" t="s">
        <v>98</v>
      </c>
      <c r="H57" s="10" t="s">
        <v>73</v>
      </c>
    </row>
    <row r="58" customFormat="false" ht="15" hidden="false" customHeight="false" outlineLevel="0" collapsed="false">
      <c r="A58" s="9" t="n">
        <v>55</v>
      </c>
      <c r="B58" s="9" t="s">
        <v>183</v>
      </c>
      <c r="C58" s="10" t="s">
        <v>12</v>
      </c>
      <c r="D58" s="10" t="s">
        <v>121</v>
      </c>
      <c r="E58" s="10" t="s">
        <v>184</v>
      </c>
      <c r="F58" s="12" t="n">
        <v>58</v>
      </c>
      <c r="G58" s="10" t="s">
        <v>98</v>
      </c>
      <c r="H58" s="10" t="s">
        <v>73</v>
      </c>
    </row>
    <row r="59" customFormat="false" ht="15" hidden="false" customHeight="false" outlineLevel="0" collapsed="false">
      <c r="A59" s="9" t="n">
        <v>56</v>
      </c>
      <c r="B59" s="9" t="s">
        <v>185</v>
      </c>
      <c r="C59" s="10" t="s">
        <v>12</v>
      </c>
      <c r="D59" s="10" t="s">
        <v>85</v>
      </c>
      <c r="E59" s="10" t="s">
        <v>186</v>
      </c>
      <c r="F59" s="12" t="n">
        <v>58</v>
      </c>
      <c r="G59" s="10" t="s">
        <v>98</v>
      </c>
      <c r="H59" s="10" t="s">
        <v>73</v>
      </c>
    </row>
    <row r="60" customFormat="false" ht="15" hidden="false" customHeight="false" outlineLevel="0" collapsed="false">
      <c r="A60" s="9" t="n">
        <v>57</v>
      </c>
      <c r="B60" s="9" t="s">
        <v>187</v>
      </c>
      <c r="C60" s="10" t="s">
        <v>12</v>
      </c>
      <c r="D60" s="10" t="s">
        <v>61</v>
      </c>
      <c r="E60" s="10" t="s">
        <v>188</v>
      </c>
      <c r="F60" s="12" t="n">
        <v>58</v>
      </c>
      <c r="G60" s="10" t="s">
        <v>98</v>
      </c>
      <c r="H60" s="10" t="s">
        <v>73</v>
      </c>
    </row>
    <row r="61" customFormat="false" ht="15" hidden="false" customHeight="false" outlineLevel="0" collapsed="false">
      <c r="A61" s="9" t="n">
        <v>58</v>
      </c>
      <c r="B61" s="9" t="s">
        <v>189</v>
      </c>
      <c r="C61" s="10" t="s">
        <v>12</v>
      </c>
      <c r="D61" s="10" t="s">
        <v>190</v>
      </c>
      <c r="E61" s="10" t="s">
        <v>191</v>
      </c>
      <c r="F61" s="12" t="n">
        <v>58</v>
      </c>
      <c r="G61" s="10" t="s">
        <v>98</v>
      </c>
      <c r="H61" s="10" t="s">
        <v>73</v>
      </c>
    </row>
    <row r="62" customFormat="false" ht="15" hidden="false" customHeight="false" outlineLevel="0" collapsed="false">
      <c r="A62" s="9" t="n">
        <v>59</v>
      </c>
      <c r="B62" s="9" t="s">
        <v>192</v>
      </c>
      <c r="C62" s="10" t="s">
        <v>12</v>
      </c>
      <c r="D62" s="10" t="s">
        <v>91</v>
      </c>
      <c r="E62" s="10" t="s">
        <v>193</v>
      </c>
      <c r="F62" s="12" t="n">
        <v>57</v>
      </c>
      <c r="G62" s="10" t="s">
        <v>98</v>
      </c>
      <c r="H62" s="10" t="s">
        <v>73</v>
      </c>
    </row>
    <row r="63" customFormat="false" ht="19.4" hidden="false" customHeight="false" outlineLevel="0" collapsed="false">
      <c r="A63" s="9" t="n">
        <v>60</v>
      </c>
      <c r="B63" s="9" t="s">
        <v>194</v>
      </c>
      <c r="C63" s="10" t="s">
        <v>8</v>
      </c>
      <c r="D63" s="10" t="s">
        <v>121</v>
      </c>
      <c r="E63" s="10" t="s">
        <v>195</v>
      </c>
      <c r="F63" s="12" t="n">
        <v>56</v>
      </c>
      <c r="G63" s="10" t="s">
        <v>98</v>
      </c>
      <c r="H63" s="10" t="s">
        <v>73</v>
      </c>
    </row>
    <row r="64" customFormat="false" ht="15" hidden="false" customHeight="false" outlineLevel="0" collapsed="false">
      <c r="A64" s="9" t="n">
        <v>61</v>
      </c>
      <c r="B64" s="9" t="s">
        <v>196</v>
      </c>
      <c r="C64" s="10" t="s">
        <v>8</v>
      </c>
      <c r="D64" s="10" t="s">
        <v>91</v>
      </c>
      <c r="E64" s="10" t="s">
        <v>197</v>
      </c>
      <c r="F64" s="12" t="n">
        <v>56</v>
      </c>
      <c r="G64" s="10" t="s">
        <v>98</v>
      </c>
      <c r="H64" s="10" t="s">
        <v>73</v>
      </c>
    </row>
    <row r="65" customFormat="false" ht="15" hidden="false" customHeight="false" outlineLevel="0" collapsed="false">
      <c r="A65" s="9" t="n">
        <v>62</v>
      </c>
      <c r="B65" s="9" t="s">
        <v>198</v>
      </c>
      <c r="C65" s="10" t="s">
        <v>8</v>
      </c>
      <c r="D65" s="10" t="s">
        <v>91</v>
      </c>
      <c r="E65" s="10" t="s">
        <v>199</v>
      </c>
      <c r="F65" s="12" t="n">
        <v>56</v>
      </c>
      <c r="G65" s="10" t="s">
        <v>200</v>
      </c>
      <c r="H65" s="10" t="s">
        <v>73</v>
      </c>
    </row>
    <row r="66" customFormat="false" ht="28.35" hidden="false" customHeight="false" outlineLevel="0" collapsed="false">
      <c r="A66" s="9" t="n">
        <v>63</v>
      </c>
      <c r="B66" s="9" t="s">
        <v>201</v>
      </c>
      <c r="C66" s="10" t="s">
        <v>8</v>
      </c>
      <c r="D66" s="10" t="s">
        <v>85</v>
      </c>
      <c r="E66" s="10" t="s">
        <v>202</v>
      </c>
      <c r="F66" s="12" t="n">
        <v>56</v>
      </c>
      <c r="G66" s="10" t="s">
        <v>203</v>
      </c>
      <c r="H66" s="10" t="s">
        <v>73</v>
      </c>
    </row>
    <row r="67" customFormat="false" ht="15" hidden="false" customHeight="false" outlineLevel="0" collapsed="false">
      <c r="A67" s="9" t="n">
        <v>64</v>
      </c>
      <c r="B67" s="9" t="s">
        <v>204</v>
      </c>
      <c r="C67" s="10" t="s">
        <v>12</v>
      </c>
      <c r="D67" s="10" t="s">
        <v>85</v>
      </c>
      <c r="E67" s="10" t="s">
        <v>205</v>
      </c>
      <c r="F67" s="12" t="n">
        <v>56</v>
      </c>
      <c r="G67" s="10" t="s">
        <v>98</v>
      </c>
      <c r="H67" s="10" t="s">
        <v>73</v>
      </c>
    </row>
    <row r="68" customFormat="false" ht="19.4" hidden="false" customHeight="false" outlineLevel="0" collapsed="false">
      <c r="A68" s="9" t="n">
        <v>65</v>
      </c>
      <c r="B68" s="9" t="s">
        <v>206</v>
      </c>
      <c r="C68" s="10" t="s">
        <v>12</v>
      </c>
      <c r="D68" s="10" t="s">
        <v>51</v>
      </c>
      <c r="E68" s="10" t="s">
        <v>207</v>
      </c>
      <c r="F68" s="12" t="n">
        <v>56</v>
      </c>
      <c r="G68" s="10" t="s">
        <v>98</v>
      </c>
      <c r="H68" s="10" t="s">
        <v>73</v>
      </c>
    </row>
    <row r="69" customFormat="false" ht="15" hidden="false" customHeight="false" outlineLevel="0" collapsed="false">
      <c r="A69" s="9" t="n">
        <v>66</v>
      </c>
      <c r="B69" s="9" t="s">
        <v>208</v>
      </c>
      <c r="C69" s="10" t="s">
        <v>12</v>
      </c>
      <c r="D69" s="10" t="s">
        <v>91</v>
      </c>
      <c r="E69" s="10" t="s">
        <v>209</v>
      </c>
      <c r="F69" s="12" t="n">
        <v>56</v>
      </c>
      <c r="G69" s="10" t="s">
        <v>98</v>
      </c>
      <c r="H69" s="10" t="s">
        <v>73</v>
      </c>
    </row>
    <row r="70" customFormat="false" ht="15" hidden="false" customHeight="false" outlineLevel="0" collapsed="false">
      <c r="A70" s="9" t="n">
        <v>67</v>
      </c>
      <c r="B70" s="9" t="s">
        <v>210</v>
      </c>
      <c r="C70" s="10" t="s">
        <v>8</v>
      </c>
      <c r="D70" s="10" t="s">
        <v>121</v>
      </c>
      <c r="E70" s="10" t="s">
        <v>211</v>
      </c>
      <c r="F70" s="12" t="n">
        <v>45</v>
      </c>
      <c r="G70" s="10" t="s">
        <v>98</v>
      </c>
      <c r="H70" s="1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9"/>
    <col collapsed="false" customWidth="true" hidden="false" outlineLevel="0" max="2" min="2" style="15" width="17"/>
    <col collapsed="false" customWidth="true" hidden="false" outlineLevel="0" max="3" min="3" style="15" width="46"/>
    <col collapsed="false" customWidth="true" hidden="false" outlineLevel="0" max="4" min="4" style="15" width="26"/>
    <col collapsed="false" customWidth="true" hidden="false" outlineLevel="0" max="5" min="5" style="15" width="28"/>
    <col collapsed="false" customWidth="true" hidden="false" outlineLevel="0" max="6" min="6" style="15" width="24"/>
    <col collapsed="false" customWidth="true" hidden="false" outlineLevel="0" max="7" min="7" style="15" width="42"/>
    <col collapsed="false" customWidth="true" hidden="false" outlineLevel="0" max="8" min="8" style="15" width="34"/>
    <col collapsed="false" customWidth="true" hidden="false" outlineLevel="0" max="9" min="9" style="15" width="28"/>
    <col collapsed="false" customWidth="true" hidden="false" outlineLevel="0" max="10" min="10" style="15" width="18"/>
    <col collapsed="false" customWidth="true" hidden="false" outlineLevel="0" max="11" min="11" style="15" width="28"/>
    <col collapsed="false" customWidth="true" hidden="false" outlineLevel="0" max="19" min="12" style="15" width="5"/>
    <col collapsed="false" customWidth="true" hidden="false" outlineLevel="0" max="20" min="20" style="15" width="9"/>
    <col collapsed="false" customWidth="true" hidden="false" outlineLevel="0" max="21" min="21" style="15" width="22"/>
    <col collapsed="false" customWidth="true" hidden="false" outlineLevel="0" max="22" min="22" style="15" width="30"/>
  </cols>
  <sheetData>
    <row r="1" customFormat="false" ht="21.75" hidden="false" customHeight="true" outlineLevel="0" collapsed="false">
      <c r="A1" s="16" t="s">
        <v>2</v>
      </c>
      <c r="B1" s="16" t="s">
        <v>46</v>
      </c>
      <c r="C1" s="16" t="s">
        <v>212</v>
      </c>
      <c r="D1" s="16" t="s">
        <v>213</v>
      </c>
      <c r="E1" s="16" t="s">
        <v>214</v>
      </c>
      <c r="F1" s="16" t="s">
        <v>215</v>
      </c>
      <c r="G1" s="16" t="s">
        <v>216</v>
      </c>
      <c r="H1" s="16" t="s">
        <v>217</v>
      </c>
      <c r="I1" s="16" t="s">
        <v>218</v>
      </c>
      <c r="J1" s="16" t="s">
        <v>219</v>
      </c>
      <c r="K1" s="16" t="s">
        <v>220</v>
      </c>
      <c r="L1" s="16" t="s">
        <v>221</v>
      </c>
      <c r="M1" s="16" t="s">
        <v>222</v>
      </c>
      <c r="N1" s="16" t="s">
        <v>223</v>
      </c>
      <c r="O1" s="16" t="s">
        <v>224</v>
      </c>
      <c r="P1" s="16" t="s">
        <v>225</v>
      </c>
      <c r="Q1" s="16" t="s">
        <v>226</v>
      </c>
      <c r="R1" s="16" t="s">
        <v>227</v>
      </c>
      <c r="S1" s="16" t="s">
        <v>228</v>
      </c>
      <c r="T1" s="16" t="s">
        <v>229</v>
      </c>
      <c r="U1" s="16" t="s">
        <v>230</v>
      </c>
      <c r="V1" s="16" t="s">
        <v>231</v>
      </c>
    </row>
    <row r="2" customFormat="false" ht="72.75" hidden="false" customHeight="true" outlineLevel="0" collapsed="false">
      <c r="A2" s="9" t="s">
        <v>21</v>
      </c>
      <c r="B2" s="10" t="s">
        <v>61</v>
      </c>
      <c r="C2" s="10" t="s">
        <v>62</v>
      </c>
      <c r="D2" s="10" t="s">
        <v>232</v>
      </c>
      <c r="E2" s="10" t="s">
        <v>233</v>
      </c>
      <c r="F2" s="10" t="s">
        <v>234</v>
      </c>
      <c r="G2" s="10" t="s">
        <v>235</v>
      </c>
      <c r="H2" s="10" t="s">
        <v>236</v>
      </c>
      <c r="I2" s="10" t="s">
        <v>237</v>
      </c>
      <c r="J2" s="10" t="s">
        <v>238</v>
      </c>
      <c r="K2" s="10" t="s">
        <v>239</v>
      </c>
      <c r="L2" s="10" t="n">
        <v>5</v>
      </c>
      <c r="M2" s="10" t="n">
        <v>4</v>
      </c>
      <c r="N2" s="10" t="n">
        <v>5</v>
      </c>
      <c r="O2" s="10" t="n">
        <v>4</v>
      </c>
      <c r="P2" s="10" t="n">
        <v>3</v>
      </c>
      <c r="Q2" s="10" t="n">
        <v>3</v>
      </c>
      <c r="R2" s="10" t="n">
        <v>2</v>
      </c>
      <c r="S2" s="10" t="n">
        <v>3</v>
      </c>
      <c r="T2" s="17" t="n">
        <f aca="false">ROUND(SUMPRODUCT(L2:S2,{5,15,20,15,15,10,12,8})/5,0)</f>
        <v>74</v>
      </c>
      <c r="U2" s="11" t="s">
        <v>63</v>
      </c>
      <c r="V2" s="18" t="s">
        <v>240</v>
      </c>
    </row>
    <row r="3" customFormat="false" ht="45.75" hidden="false" customHeight="true" outlineLevel="0" collapsed="false">
      <c r="A3" s="9" t="s">
        <v>18</v>
      </c>
      <c r="B3" s="10" t="s">
        <v>54</v>
      </c>
      <c r="C3" s="10" t="s">
        <v>59</v>
      </c>
      <c r="D3" s="10" t="s">
        <v>241</v>
      </c>
      <c r="E3" s="10" t="s">
        <v>242</v>
      </c>
      <c r="F3" s="10" t="s">
        <v>243</v>
      </c>
      <c r="G3" s="10" t="s">
        <v>244</v>
      </c>
      <c r="H3" s="10" t="s">
        <v>245</v>
      </c>
      <c r="I3" s="10" t="s">
        <v>246</v>
      </c>
      <c r="J3" s="10" t="s">
        <v>247</v>
      </c>
      <c r="K3" s="10" t="s">
        <v>248</v>
      </c>
      <c r="L3" s="10" t="n">
        <v>5</v>
      </c>
      <c r="M3" s="10" t="n">
        <v>5</v>
      </c>
      <c r="N3" s="10" t="n">
        <v>4</v>
      </c>
      <c r="O3" s="10" t="n">
        <v>4</v>
      </c>
      <c r="P3" s="10" t="n">
        <v>3</v>
      </c>
      <c r="Q3" s="10" t="n">
        <v>3</v>
      </c>
      <c r="R3" s="10" t="n">
        <v>3</v>
      </c>
      <c r="S3" s="10" t="n">
        <v>3</v>
      </c>
      <c r="T3" s="17" t="n">
        <f aca="false">ROUND(SUMPRODUCT(L3:S3,{5,15,20,15,15,10,12,8})/5,0)</f>
        <v>75</v>
      </c>
      <c r="U3" s="11" t="s">
        <v>60</v>
      </c>
      <c r="V3" s="18" t="s">
        <v>249</v>
      </c>
    </row>
    <row r="4" customFormat="false" ht="63.75" hidden="false" customHeight="true" outlineLevel="0" collapsed="false">
      <c r="A4" s="9" t="s">
        <v>7</v>
      </c>
      <c r="B4" s="10" t="s">
        <v>51</v>
      </c>
      <c r="C4" s="10" t="s">
        <v>52</v>
      </c>
      <c r="D4" s="10" t="s">
        <v>250</v>
      </c>
      <c r="E4" s="10" t="s">
        <v>251</v>
      </c>
      <c r="F4" s="10" t="s">
        <v>252</v>
      </c>
      <c r="G4" s="10" t="s">
        <v>253</v>
      </c>
      <c r="H4" s="10" t="s">
        <v>254</v>
      </c>
      <c r="I4" s="10" t="s">
        <v>255</v>
      </c>
      <c r="J4" s="10" t="s">
        <v>256</v>
      </c>
      <c r="K4" s="10" t="s">
        <v>257</v>
      </c>
      <c r="L4" s="10" t="n">
        <v>4</v>
      </c>
      <c r="M4" s="10" t="n">
        <v>4</v>
      </c>
      <c r="N4" s="10" t="n">
        <v>5</v>
      </c>
      <c r="O4" s="10" t="n">
        <v>4</v>
      </c>
      <c r="P4" s="10" t="n">
        <v>4</v>
      </c>
      <c r="Q4" s="10" t="n">
        <v>3</v>
      </c>
      <c r="R4" s="10" t="n">
        <v>3</v>
      </c>
      <c r="S4" s="10" t="n">
        <v>3</v>
      </c>
      <c r="T4" s="17" t="n">
        <f aca="false">ROUND(SUMPRODUCT(L4:S4,{5,15,20,15,15,10,12,8})/5,0)</f>
        <v>78</v>
      </c>
      <c r="U4" s="11" t="s">
        <v>53</v>
      </c>
      <c r="V4" s="18" t="s">
        <v>258</v>
      </c>
    </row>
    <row r="5" customFormat="false" ht="45.75" hidden="false" customHeight="true" outlineLevel="0" collapsed="false">
      <c r="A5" s="9" t="s">
        <v>15</v>
      </c>
      <c r="B5" s="10" t="s">
        <v>51</v>
      </c>
      <c r="C5" s="10" t="s">
        <v>57</v>
      </c>
      <c r="D5" s="10" t="s">
        <v>259</v>
      </c>
      <c r="E5" s="10" t="s">
        <v>260</v>
      </c>
      <c r="F5" s="10" t="s">
        <v>261</v>
      </c>
      <c r="G5" s="10" t="s">
        <v>262</v>
      </c>
      <c r="H5" s="10" t="s">
        <v>263</v>
      </c>
      <c r="I5" s="10" t="s">
        <v>264</v>
      </c>
      <c r="J5" s="10" t="s">
        <v>265</v>
      </c>
      <c r="K5" s="10" t="s">
        <v>266</v>
      </c>
      <c r="L5" s="10" t="n">
        <v>4</v>
      </c>
      <c r="M5" s="10" t="n">
        <v>5</v>
      </c>
      <c r="N5" s="10" t="n">
        <v>4</v>
      </c>
      <c r="O5" s="10" t="n">
        <v>4</v>
      </c>
      <c r="P5" s="10" t="n">
        <v>3</v>
      </c>
      <c r="Q5" s="10" t="n">
        <v>3</v>
      </c>
      <c r="R5" s="10" t="n">
        <v>3</v>
      </c>
      <c r="S5" s="10" t="n">
        <v>4</v>
      </c>
      <c r="T5" s="17" t="n">
        <f aca="false">ROUND(SUMPRODUCT(L5:S5,{5,15,20,15,15,10,12,8})/5,0)</f>
        <v>76</v>
      </c>
      <c r="U5" s="11" t="s">
        <v>58</v>
      </c>
      <c r="V5" s="18" t="s">
        <v>267</v>
      </c>
    </row>
    <row r="6" customFormat="false" ht="63.75" hidden="false" customHeight="true" outlineLevel="0" collapsed="false">
      <c r="A6" s="9" t="s">
        <v>24</v>
      </c>
      <c r="B6" s="10" t="s">
        <v>64</v>
      </c>
      <c r="C6" s="10" t="s">
        <v>65</v>
      </c>
      <c r="D6" s="10" t="s">
        <v>268</v>
      </c>
      <c r="E6" s="10" t="s">
        <v>269</v>
      </c>
      <c r="F6" s="10" t="s">
        <v>270</v>
      </c>
      <c r="G6" s="10" t="s">
        <v>271</v>
      </c>
      <c r="H6" s="10" t="s">
        <v>272</v>
      </c>
      <c r="I6" s="10" t="s">
        <v>273</v>
      </c>
      <c r="J6" s="10" t="s">
        <v>274</v>
      </c>
      <c r="K6" s="10" t="s">
        <v>275</v>
      </c>
      <c r="L6" s="10" t="n">
        <v>4</v>
      </c>
      <c r="M6" s="10" t="n">
        <v>4</v>
      </c>
      <c r="N6" s="10" t="n">
        <v>4</v>
      </c>
      <c r="O6" s="10" t="n">
        <v>4</v>
      </c>
      <c r="P6" s="10" t="n">
        <v>3</v>
      </c>
      <c r="Q6" s="10" t="n">
        <v>4</v>
      </c>
      <c r="R6" s="10" t="n">
        <v>3</v>
      </c>
      <c r="S6" s="10" t="n">
        <v>3</v>
      </c>
      <c r="T6" s="17" t="n">
        <f aca="false">ROUND(SUMPRODUCT(L6:S6,{5,15,20,15,15,10,12,8})/5,0)</f>
        <v>73</v>
      </c>
      <c r="U6" s="11" t="s">
        <v>66</v>
      </c>
      <c r="V6" s="18" t="s">
        <v>276</v>
      </c>
    </row>
    <row r="7" customFormat="false" ht="45.75" hidden="false" customHeight="true" outlineLevel="0" collapsed="false">
      <c r="A7" s="9" t="s">
        <v>110</v>
      </c>
      <c r="B7" s="10" t="s">
        <v>61</v>
      </c>
      <c r="C7" s="10" t="s">
        <v>111</v>
      </c>
      <c r="D7" s="10" t="s">
        <v>277</v>
      </c>
      <c r="E7" s="10" t="s">
        <v>278</v>
      </c>
      <c r="F7" s="10" t="s">
        <v>279</v>
      </c>
      <c r="G7" s="10" t="s">
        <v>280</v>
      </c>
      <c r="H7" s="10" t="s">
        <v>281</v>
      </c>
      <c r="I7" s="10" t="s">
        <v>282</v>
      </c>
      <c r="J7" s="10" t="s">
        <v>283</v>
      </c>
      <c r="K7" s="10" t="s">
        <v>284</v>
      </c>
      <c r="L7" s="10" t="n">
        <v>5</v>
      </c>
      <c r="M7" s="10" t="n">
        <v>4</v>
      </c>
      <c r="N7" s="10" t="n">
        <v>4</v>
      </c>
      <c r="O7" s="10" t="n">
        <v>3</v>
      </c>
      <c r="P7" s="10" t="n">
        <v>3</v>
      </c>
      <c r="Q7" s="10" t="n">
        <v>3</v>
      </c>
      <c r="R7" s="10" t="n">
        <v>2</v>
      </c>
      <c r="S7" s="10" t="n">
        <v>3</v>
      </c>
      <c r="T7" s="17" t="n">
        <f aca="false">ROUND(SUMPRODUCT(L7:S7,{5,15,20,15,15,10,12,8})/5,0)</f>
        <v>67</v>
      </c>
      <c r="U7" s="11" t="s">
        <v>112</v>
      </c>
      <c r="V7" s="18" t="s">
        <v>285</v>
      </c>
    </row>
    <row r="8" customFormat="false" ht="36.75" hidden="false" customHeight="true" outlineLevel="0" collapsed="false">
      <c r="A8" s="9" t="s">
        <v>75</v>
      </c>
      <c r="B8" s="10" t="s">
        <v>51</v>
      </c>
      <c r="C8" s="10" t="s">
        <v>76</v>
      </c>
      <c r="D8" s="10" t="s">
        <v>286</v>
      </c>
      <c r="E8" s="10" t="s">
        <v>287</v>
      </c>
      <c r="F8" s="10" t="s">
        <v>288</v>
      </c>
      <c r="G8" s="10" t="s">
        <v>289</v>
      </c>
      <c r="H8" s="10" t="s">
        <v>290</v>
      </c>
      <c r="I8" s="10" t="s">
        <v>291</v>
      </c>
      <c r="J8" s="10" t="s">
        <v>292</v>
      </c>
      <c r="K8" s="10" t="s">
        <v>293</v>
      </c>
      <c r="L8" s="10" t="n">
        <v>4</v>
      </c>
      <c r="M8" s="10" t="n">
        <v>4</v>
      </c>
      <c r="N8" s="10" t="n">
        <v>4</v>
      </c>
      <c r="O8" s="10" t="n">
        <v>3</v>
      </c>
      <c r="P8" s="10" t="n">
        <v>3</v>
      </c>
      <c r="Q8" s="10" t="n">
        <v>3</v>
      </c>
      <c r="R8" s="10" t="n">
        <v>4</v>
      </c>
      <c r="S8" s="10" t="n">
        <v>3</v>
      </c>
      <c r="T8" s="17" t="n">
        <f aca="false">ROUND(SUMPRODUCT(L8:S8,{5,15,20,15,15,10,12,8})/5,0)</f>
        <v>70</v>
      </c>
      <c r="U8" s="11" t="s">
        <v>77</v>
      </c>
      <c r="V8" s="18" t="s">
        <v>294</v>
      </c>
    </row>
    <row r="9" customFormat="false" ht="36.75" hidden="false" customHeight="true" outlineLevel="0" collapsed="false">
      <c r="A9" s="9" t="s">
        <v>78</v>
      </c>
      <c r="B9" s="10" t="s">
        <v>54</v>
      </c>
      <c r="C9" s="10" t="s">
        <v>79</v>
      </c>
      <c r="D9" s="10" t="s">
        <v>295</v>
      </c>
      <c r="E9" s="10" t="s">
        <v>296</v>
      </c>
      <c r="F9" s="10" t="s">
        <v>297</v>
      </c>
      <c r="G9" s="10" t="s">
        <v>298</v>
      </c>
      <c r="H9" s="10" t="s">
        <v>299</v>
      </c>
      <c r="I9" s="10" t="s">
        <v>300</v>
      </c>
      <c r="J9" s="10" t="s">
        <v>301</v>
      </c>
      <c r="K9" s="10" t="s">
        <v>302</v>
      </c>
      <c r="L9" s="10" t="n">
        <v>4</v>
      </c>
      <c r="M9" s="10" t="n">
        <v>4</v>
      </c>
      <c r="N9" s="10" t="n">
        <v>4</v>
      </c>
      <c r="O9" s="10" t="n">
        <v>3</v>
      </c>
      <c r="P9" s="10" t="n">
        <v>3</v>
      </c>
      <c r="Q9" s="10" t="n">
        <v>3</v>
      </c>
      <c r="R9" s="10" t="n">
        <v>4</v>
      </c>
      <c r="S9" s="10" t="n">
        <v>3</v>
      </c>
      <c r="T9" s="17" t="n">
        <f aca="false">ROUND(SUMPRODUCT(L9:S9,{5,15,20,15,15,10,12,8})/5,0)</f>
        <v>70</v>
      </c>
      <c r="U9" s="11" t="s">
        <v>80</v>
      </c>
      <c r="V9" s="18" t="s">
        <v>303</v>
      </c>
    </row>
    <row r="10" customFormat="false" ht="36.75" hidden="false" customHeight="true" outlineLevel="0" collapsed="false">
      <c r="A10" s="9" t="s">
        <v>30</v>
      </c>
      <c r="B10" s="10" t="s">
        <v>51</v>
      </c>
      <c r="C10" s="10" t="s">
        <v>69</v>
      </c>
      <c r="D10" s="10" t="s">
        <v>304</v>
      </c>
      <c r="E10" s="10" t="s">
        <v>305</v>
      </c>
      <c r="F10" s="10" t="s">
        <v>306</v>
      </c>
      <c r="G10" s="10" t="s">
        <v>307</v>
      </c>
      <c r="H10" s="10" t="s">
        <v>308</v>
      </c>
      <c r="I10" s="10" t="s">
        <v>309</v>
      </c>
      <c r="J10" s="10" t="s">
        <v>310</v>
      </c>
      <c r="K10" s="10" t="s">
        <v>311</v>
      </c>
      <c r="L10" s="10" t="n">
        <v>5</v>
      </c>
      <c r="M10" s="10" t="n">
        <v>3</v>
      </c>
      <c r="N10" s="10" t="n">
        <v>4</v>
      </c>
      <c r="O10" s="10" t="n">
        <v>4</v>
      </c>
      <c r="P10" s="10" t="n">
        <v>4</v>
      </c>
      <c r="Q10" s="10" t="n">
        <v>3</v>
      </c>
      <c r="R10" s="10" t="n">
        <v>2</v>
      </c>
      <c r="S10" s="10" t="n">
        <v>4</v>
      </c>
      <c r="T10" s="17" t="n">
        <f aca="false">ROUND(SUMPRODUCT(L10:S10,{5,15,20,15,15,10,12,8})/5,0)</f>
        <v>71</v>
      </c>
      <c r="U10" s="11" t="s">
        <v>70</v>
      </c>
      <c r="V10" s="18" t="s">
        <v>312</v>
      </c>
    </row>
    <row r="11" customFormat="false" ht="36.75" hidden="false" customHeight="true" outlineLevel="0" collapsed="false">
      <c r="A11" s="9" t="s">
        <v>87</v>
      </c>
      <c r="B11" s="10" t="s">
        <v>85</v>
      </c>
      <c r="C11" s="10" t="s">
        <v>88</v>
      </c>
      <c r="D11" s="10" t="s">
        <v>313</v>
      </c>
      <c r="E11" s="10" t="s">
        <v>314</v>
      </c>
      <c r="F11" s="10" t="s">
        <v>315</v>
      </c>
      <c r="G11" s="10" t="s">
        <v>316</v>
      </c>
      <c r="H11" s="10" t="s">
        <v>317</v>
      </c>
      <c r="I11" s="10" t="s">
        <v>318</v>
      </c>
      <c r="J11" s="10" t="s">
        <v>319</v>
      </c>
      <c r="K11" s="10" t="s">
        <v>320</v>
      </c>
      <c r="L11" s="10" t="n">
        <v>5</v>
      </c>
      <c r="M11" s="10" t="n">
        <v>4</v>
      </c>
      <c r="N11" s="10" t="n">
        <v>4</v>
      </c>
      <c r="O11" s="10" t="n">
        <v>4</v>
      </c>
      <c r="P11" s="10" t="n">
        <v>3</v>
      </c>
      <c r="Q11" s="10" t="n">
        <v>3</v>
      </c>
      <c r="R11" s="10" t="n">
        <v>2</v>
      </c>
      <c r="S11" s="10" t="n">
        <v>2</v>
      </c>
      <c r="T11" s="17" t="n">
        <f aca="false">ROUND(SUMPRODUCT(L11:S11,{5,15,20,15,15,10,12,8})/5,0)</f>
        <v>68</v>
      </c>
      <c r="U11" s="11" t="s">
        <v>89</v>
      </c>
      <c r="V11" s="18" t="s">
        <v>321</v>
      </c>
    </row>
    <row r="12" customFormat="false" ht="36.75" hidden="false" customHeight="true" outlineLevel="0" collapsed="false">
      <c r="A12" s="9" t="s">
        <v>133</v>
      </c>
      <c r="B12" s="10" t="s">
        <v>64</v>
      </c>
      <c r="C12" s="10" t="s">
        <v>134</v>
      </c>
      <c r="D12" s="10" t="s">
        <v>322</v>
      </c>
      <c r="E12" s="10" t="s">
        <v>323</v>
      </c>
      <c r="F12" s="10" t="s">
        <v>324</v>
      </c>
      <c r="G12" s="10" t="s">
        <v>325</v>
      </c>
      <c r="H12" s="10" t="s">
        <v>326</v>
      </c>
      <c r="I12" s="10" t="s">
        <v>327</v>
      </c>
      <c r="J12" s="10" t="s">
        <v>328</v>
      </c>
      <c r="K12" s="10" t="s">
        <v>329</v>
      </c>
      <c r="L12" s="10" t="n">
        <v>5</v>
      </c>
      <c r="M12" s="10" t="n">
        <v>3</v>
      </c>
      <c r="N12" s="10" t="n">
        <v>4</v>
      </c>
      <c r="O12" s="10" t="n">
        <v>3</v>
      </c>
      <c r="P12" s="10" t="n">
        <v>3</v>
      </c>
      <c r="Q12" s="10" t="n">
        <v>3</v>
      </c>
      <c r="R12" s="10" t="n">
        <v>2</v>
      </c>
      <c r="S12" s="10" t="n">
        <v>3</v>
      </c>
      <c r="T12" s="17" t="n">
        <f aca="false">ROUND(SUMPRODUCT(L12:S12,{5,15,20,15,15,10,12,8})/5,0)</f>
        <v>64</v>
      </c>
      <c r="U12" s="13" t="s">
        <v>135</v>
      </c>
      <c r="V12" s="18" t="s">
        <v>330</v>
      </c>
    </row>
    <row r="13" customFormat="false" ht="27.75" hidden="false" customHeight="true" outlineLevel="0" collapsed="false">
      <c r="A13" s="9" t="s">
        <v>90</v>
      </c>
      <c r="B13" s="10" t="s">
        <v>91</v>
      </c>
      <c r="C13" s="10" t="s">
        <v>92</v>
      </c>
      <c r="D13" s="10" t="s">
        <v>331</v>
      </c>
      <c r="E13" s="10" t="s">
        <v>332</v>
      </c>
      <c r="F13" s="10" t="s">
        <v>333</v>
      </c>
      <c r="G13" s="10" t="s">
        <v>334</v>
      </c>
      <c r="H13" s="10" t="s">
        <v>335</v>
      </c>
      <c r="I13" s="10" t="s">
        <v>336</v>
      </c>
      <c r="J13" s="10" t="s">
        <v>337</v>
      </c>
      <c r="K13" s="10" t="s">
        <v>338</v>
      </c>
      <c r="L13" s="10" t="n">
        <v>5</v>
      </c>
      <c r="M13" s="10" t="n">
        <v>4</v>
      </c>
      <c r="N13" s="10" t="n">
        <v>4</v>
      </c>
      <c r="O13" s="10" t="n">
        <v>4</v>
      </c>
      <c r="P13" s="10" t="n">
        <v>3</v>
      </c>
      <c r="Q13" s="10" t="n">
        <v>3</v>
      </c>
      <c r="R13" s="10" t="n">
        <v>2</v>
      </c>
      <c r="S13" s="10" t="n">
        <v>2</v>
      </c>
      <c r="T13" s="17" t="n">
        <f aca="false">ROUND(SUMPRODUCT(L13:S13,{5,15,20,15,15,10,12,8})/5,0)</f>
        <v>68</v>
      </c>
      <c r="U13" s="13" t="s">
        <v>93</v>
      </c>
      <c r="V13" s="18" t="s">
        <v>339</v>
      </c>
    </row>
    <row r="14" customFormat="false" ht="27.75" hidden="false" customHeight="true" outlineLevel="0" collapsed="false">
      <c r="A14" s="9" t="s">
        <v>94</v>
      </c>
      <c r="B14" s="10" t="s">
        <v>91</v>
      </c>
      <c r="C14" s="10" t="s">
        <v>95</v>
      </c>
      <c r="D14" s="10" t="s">
        <v>340</v>
      </c>
      <c r="E14" s="10" t="s">
        <v>341</v>
      </c>
      <c r="F14" s="10" t="s">
        <v>342</v>
      </c>
      <c r="G14" s="10" t="s">
        <v>343</v>
      </c>
      <c r="H14" s="10" t="s">
        <v>344</v>
      </c>
      <c r="I14" s="10" t="s">
        <v>345</v>
      </c>
      <c r="J14" s="10" t="s">
        <v>328</v>
      </c>
      <c r="K14" s="10" t="s">
        <v>346</v>
      </c>
      <c r="L14" s="10" t="n">
        <v>5</v>
      </c>
      <c r="M14" s="10" t="n">
        <v>3</v>
      </c>
      <c r="N14" s="10" t="n">
        <v>4</v>
      </c>
      <c r="O14" s="10" t="n">
        <v>4</v>
      </c>
      <c r="P14" s="10" t="n">
        <v>4</v>
      </c>
      <c r="Q14" s="10" t="n">
        <v>2</v>
      </c>
      <c r="R14" s="10" t="n">
        <v>2</v>
      </c>
      <c r="S14" s="10" t="n">
        <v>3</v>
      </c>
      <c r="T14" s="17" t="n">
        <f aca="false">ROUND(SUMPRODUCT(L14:S14,{5,15,20,15,15,10,12,8})/5,0)</f>
        <v>68</v>
      </c>
      <c r="U14" s="13" t="s">
        <v>68</v>
      </c>
      <c r="V14" s="18" t="s">
        <v>347</v>
      </c>
    </row>
    <row r="15" customFormat="false" ht="27.75" hidden="false" customHeight="true" outlineLevel="0" collapsed="false">
      <c r="A15" s="9" t="s">
        <v>33</v>
      </c>
      <c r="B15" s="10" t="s">
        <v>51</v>
      </c>
      <c r="C15" s="10" t="s">
        <v>71</v>
      </c>
      <c r="D15" s="10" t="s">
        <v>348</v>
      </c>
      <c r="E15" s="10" t="s">
        <v>349</v>
      </c>
      <c r="F15" s="10" t="s">
        <v>350</v>
      </c>
      <c r="G15" s="10" t="s">
        <v>351</v>
      </c>
      <c r="H15" s="10" t="s">
        <v>352</v>
      </c>
      <c r="I15" s="10" t="s">
        <v>353</v>
      </c>
      <c r="J15" s="10" t="s">
        <v>354</v>
      </c>
      <c r="K15" s="10" t="s">
        <v>355</v>
      </c>
      <c r="L15" s="10" t="n">
        <v>4</v>
      </c>
      <c r="M15" s="10" t="n">
        <v>4</v>
      </c>
      <c r="N15" s="10" t="n">
        <v>5</v>
      </c>
      <c r="O15" s="10" t="n">
        <v>3</v>
      </c>
      <c r="P15" s="10" t="n">
        <v>4</v>
      </c>
      <c r="Q15" s="10" t="n">
        <v>3</v>
      </c>
      <c r="R15" s="10" t="n">
        <v>2</v>
      </c>
      <c r="S15" s="10" t="n">
        <v>2</v>
      </c>
      <c r="T15" s="17" t="n">
        <f aca="false">ROUND(SUMPRODUCT(L15:S15,{5,15,20,15,15,10,12,8})/5,0)</f>
        <v>71</v>
      </c>
      <c r="U15" s="12" t="s">
        <v>72</v>
      </c>
      <c r="V15" s="18" t="s">
        <v>356</v>
      </c>
    </row>
    <row r="16" customFormat="false" ht="27.75" hidden="false" customHeight="true" outlineLevel="0" collapsed="false">
      <c r="A16" s="9" t="s">
        <v>145</v>
      </c>
      <c r="B16" s="10" t="s">
        <v>121</v>
      </c>
      <c r="C16" s="10" t="s">
        <v>146</v>
      </c>
      <c r="D16" s="10" t="s">
        <v>357</v>
      </c>
      <c r="E16" s="10" t="s">
        <v>358</v>
      </c>
      <c r="F16" s="10" t="s">
        <v>359</v>
      </c>
      <c r="G16" s="10" t="s">
        <v>360</v>
      </c>
      <c r="H16" s="10" t="s">
        <v>361</v>
      </c>
      <c r="I16" s="10" t="s">
        <v>362</v>
      </c>
      <c r="J16" s="10" t="s">
        <v>363</v>
      </c>
      <c r="K16" s="10" t="s">
        <v>364</v>
      </c>
      <c r="L16" s="10" t="n">
        <v>4</v>
      </c>
      <c r="M16" s="10" t="n">
        <v>3</v>
      </c>
      <c r="N16" s="10" t="n">
        <v>4</v>
      </c>
      <c r="O16" s="10" t="n">
        <v>3</v>
      </c>
      <c r="P16" s="10" t="n">
        <v>3</v>
      </c>
      <c r="Q16" s="10" t="n">
        <v>3</v>
      </c>
      <c r="R16" s="10" t="n">
        <v>2</v>
      </c>
      <c r="S16" s="10" t="n">
        <v>3</v>
      </c>
      <c r="T16" s="17" t="n">
        <f aca="false">ROUND(SUMPRODUCT(L16:S16,{5,15,20,15,15,10,12,8})/5,0)</f>
        <v>63</v>
      </c>
      <c r="U16" s="13" t="s">
        <v>68</v>
      </c>
      <c r="V16" s="18" t="s">
        <v>365</v>
      </c>
    </row>
    <row r="17" customFormat="false" ht="27.75" hidden="false" customHeight="true" outlineLevel="0" collapsed="false">
      <c r="A17" s="9" t="s">
        <v>96</v>
      </c>
      <c r="B17" s="10" t="s">
        <v>85</v>
      </c>
      <c r="C17" s="10" t="s">
        <v>97</v>
      </c>
      <c r="D17" s="10" t="s">
        <v>366</v>
      </c>
      <c r="E17" s="10" t="s">
        <v>367</v>
      </c>
      <c r="F17" s="10" t="s">
        <v>368</v>
      </c>
      <c r="G17" s="10" t="s">
        <v>369</v>
      </c>
      <c r="H17" s="10" t="s">
        <v>370</v>
      </c>
      <c r="I17" s="10" t="s">
        <v>371</v>
      </c>
      <c r="J17" s="10" t="s">
        <v>372</v>
      </c>
      <c r="K17" s="10" t="s">
        <v>373</v>
      </c>
      <c r="L17" s="10" t="n">
        <v>3</v>
      </c>
      <c r="M17" s="10" t="n">
        <v>5</v>
      </c>
      <c r="N17" s="10" t="n">
        <v>4</v>
      </c>
      <c r="O17" s="10" t="n">
        <v>4</v>
      </c>
      <c r="P17" s="10" t="n">
        <v>3</v>
      </c>
      <c r="Q17" s="10" t="n">
        <v>2</v>
      </c>
      <c r="R17" s="10" t="n">
        <v>1</v>
      </c>
      <c r="S17" s="10" t="n">
        <v>4</v>
      </c>
      <c r="T17" s="17" t="n">
        <f aca="false">ROUND(SUMPRODUCT(L17:S17,{5,15,20,15,15,10,12,8})/5,0)</f>
        <v>68</v>
      </c>
      <c r="U17" s="12" t="s">
        <v>98</v>
      </c>
      <c r="V17" s="18" t="s">
        <v>374</v>
      </c>
    </row>
    <row r="18" customFormat="false" ht="27.75" hidden="false" customHeight="true" outlineLevel="0" collapsed="false">
      <c r="A18" s="9" t="s">
        <v>127</v>
      </c>
      <c r="B18" s="10" t="s">
        <v>54</v>
      </c>
      <c r="C18" s="10" t="s">
        <v>128</v>
      </c>
      <c r="D18" s="10" t="s">
        <v>375</v>
      </c>
      <c r="E18" s="10" t="s">
        <v>376</v>
      </c>
      <c r="F18" s="10" t="s">
        <v>377</v>
      </c>
      <c r="G18" s="10" t="s">
        <v>378</v>
      </c>
      <c r="H18" s="10" t="s">
        <v>379</v>
      </c>
      <c r="I18" s="10" t="s">
        <v>380</v>
      </c>
      <c r="J18" s="10" t="s">
        <v>381</v>
      </c>
      <c r="K18" s="10" t="s">
        <v>382</v>
      </c>
      <c r="L18" s="10" t="n">
        <v>4</v>
      </c>
      <c r="M18" s="10" t="n">
        <v>3</v>
      </c>
      <c r="N18" s="10" t="n">
        <v>4</v>
      </c>
      <c r="O18" s="10" t="n">
        <v>3</v>
      </c>
      <c r="P18" s="10" t="n">
        <v>3</v>
      </c>
      <c r="Q18" s="10" t="n">
        <v>3</v>
      </c>
      <c r="R18" s="10" t="n">
        <v>3</v>
      </c>
      <c r="S18" s="10" t="n">
        <v>3</v>
      </c>
      <c r="T18" s="17" t="n">
        <f aca="false">ROUND(SUMPRODUCT(L18:S18,{5,15,20,15,15,10,12,8})/5,0)</f>
        <v>65</v>
      </c>
      <c r="U18" s="13" t="s">
        <v>68</v>
      </c>
      <c r="V18" s="18" t="s">
        <v>383</v>
      </c>
    </row>
    <row r="19" customFormat="false" ht="27.75" hidden="false" customHeight="true" outlineLevel="0" collapsed="false">
      <c r="A19" s="9" t="s">
        <v>151</v>
      </c>
      <c r="B19" s="10" t="s">
        <v>54</v>
      </c>
      <c r="C19" s="10" t="s">
        <v>152</v>
      </c>
      <c r="D19" s="10" t="s">
        <v>384</v>
      </c>
      <c r="E19" s="10" t="s">
        <v>385</v>
      </c>
      <c r="F19" s="10" t="s">
        <v>386</v>
      </c>
      <c r="G19" s="10" t="s">
        <v>387</v>
      </c>
      <c r="H19" s="10" t="s">
        <v>388</v>
      </c>
      <c r="I19" s="10" t="s">
        <v>389</v>
      </c>
      <c r="J19" s="10" t="s">
        <v>328</v>
      </c>
      <c r="K19" s="10" t="s">
        <v>390</v>
      </c>
      <c r="L19" s="10" t="n">
        <v>4</v>
      </c>
      <c r="M19" s="10" t="n">
        <v>4</v>
      </c>
      <c r="N19" s="10" t="n">
        <v>3</v>
      </c>
      <c r="O19" s="10" t="n">
        <v>3</v>
      </c>
      <c r="P19" s="10" t="n">
        <v>3</v>
      </c>
      <c r="Q19" s="10" t="n">
        <v>2</v>
      </c>
      <c r="R19" s="10" t="n">
        <v>3</v>
      </c>
      <c r="S19" s="10" t="n">
        <v>3</v>
      </c>
      <c r="T19" s="17" t="n">
        <f aca="false">ROUND(SUMPRODUCT(L19:S19,{5,15,20,15,15,10,12,8})/5,0)</f>
        <v>62</v>
      </c>
      <c r="U19" s="13" t="s">
        <v>153</v>
      </c>
      <c r="V19" s="18" t="s">
        <v>365</v>
      </c>
    </row>
    <row r="20" customFormat="false" ht="27.75" hidden="false" customHeight="true" outlineLevel="0" collapsed="false">
      <c r="A20" s="9" t="s">
        <v>154</v>
      </c>
      <c r="B20" s="10" t="s">
        <v>64</v>
      </c>
      <c r="C20" s="10" t="s">
        <v>155</v>
      </c>
      <c r="D20" s="10" t="s">
        <v>391</v>
      </c>
      <c r="E20" s="10" t="s">
        <v>392</v>
      </c>
      <c r="F20" s="10" t="s">
        <v>393</v>
      </c>
      <c r="G20" s="10" t="s">
        <v>394</v>
      </c>
      <c r="H20" s="10" t="s">
        <v>395</v>
      </c>
      <c r="I20" s="10" t="s">
        <v>389</v>
      </c>
      <c r="J20" s="10" t="s">
        <v>396</v>
      </c>
      <c r="K20" s="10" t="s">
        <v>397</v>
      </c>
      <c r="L20" s="10" t="n">
        <v>3</v>
      </c>
      <c r="M20" s="10" t="n">
        <v>4</v>
      </c>
      <c r="N20" s="10" t="n">
        <v>4</v>
      </c>
      <c r="O20" s="10" t="n">
        <v>2</v>
      </c>
      <c r="P20" s="10" t="n">
        <v>3</v>
      </c>
      <c r="Q20" s="10" t="n">
        <v>2</v>
      </c>
      <c r="R20" s="10" t="n">
        <v>3</v>
      </c>
      <c r="S20" s="10" t="n">
        <v>3</v>
      </c>
      <c r="T20" s="17" t="n">
        <f aca="false">ROUND(SUMPRODUCT(L20:S20,{5,15,20,15,15,10,12,8})/5,0)</f>
        <v>62</v>
      </c>
      <c r="U20" s="13" t="s">
        <v>138</v>
      </c>
      <c r="V20" s="18" t="s">
        <v>398</v>
      </c>
    </row>
    <row r="21" customFormat="false" ht="27.75" hidden="false" customHeight="true" outlineLevel="0" collapsed="false">
      <c r="A21" s="9" t="s">
        <v>136</v>
      </c>
      <c r="B21" s="10" t="s">
        <v>64</v>
      </c>
      <c r="C21" s="10" t="s">
        <v>137</v>
      </c>
      <c r="D21" s="10" t="s">
        <v>399</v>
      </c>
      <c r="E21" s="10" t="s">
        <v>400</v>
      </c>
      <c r="F21" s="10" t="s">
        <v>401</v>
      </c>
      <c r="G21" s="10" t="s">
        <v>402</v>
      </c>
      <c r="H21" s="10" t="s">
        <v>403</v>
      </c>
      <c r="I21" s="10" t="s">
        <v>389</v>
      </c>
      <c r="J21" s="10" t="s">
        <v>404</v>
      </c>
      <c r="K21" s="10" t="s">
        <v>405</v>
      </c>
      <c r="L21" s="10" t="n">
        <v>4</v>
      </c>
      <c r="M21" s="10" t="n">
        <v>3</v>
      </c>
      <c r="N21" s="10" t="n">
        <v>3</v>
      </c>
      <c r="O21" s="10" t="n">
        <v>4</v>
      </c>
      <c r="P21" s="10" t="n">
        <v>3</v>
      </c>
      <c r="Q21" s="10" t="n">
        <v>3</v>
      </c>
      <c r="R21" s="10" t="n">
        <v>3</v>
      </c>
      <c r="S21" s="10" t="n">
        <v>3</v>
      </c>
      <c r="T21" s="17" t="n">
        <f aca="false">ROUND(SUMPRODUCT(L21:S21,{5,15,20,15,15,10,12,8})/5,0)</f>
        <v>64</v>
      </c>
      <c r="U21" s="13" t="s">
        <v>138</v>
      </c>
      <c r="V21" s="18" t="s">
        <v>406</v>
      </c>
    </row>
    <row r="22" customFormat="false" ht="27.75" hidden="false" customHeight="true" outlineLevel="0" collapsed="false">
      <c r="A22" s="9" t="s">
        <v>177</v>
      </c>
      <c r="B22" s="10" t="s">
        <v>64</v>
      </c>
      <c r="C22" s="10" t="s">
        <v>178</v>
      </c>
      <c r="D22" s="10" t="s">
        <v>407</v>
      </c>
      <c r="E22" s="10" t="s">
        <v>408</v>
      </c>
      <c r="F22" s="10" t="s">
        <v>409</v>
      </c>
      <c r="G22" s="10" t="s">
        <v>410</v>
      </c>
      <c r="H22" s="10" t="s">
        <v>411</v>
      </c>
      <c r="I22" s="10" t="s">
        <v>389</v>
      </c>
      <c r="J22" s="10" t="s">
        <v>328</v>
      </c>
      <c r="K22" s="10" t="s">
        <v>412</v>
      </c>
      <c r="L22" s="10" t="n">
        <v>4</v>
      </c>
      <c r="M22" s="10" t="n">
        <v>3</v>
      </c>
      <c r="N22" s="10" t="n">
        <v>3</v>
      </c>
      <c r="O22" s="10" t="n">
        <v>3</v>
      </c>
      <c r="P22" s="10" t="n">
        <v>3</v>
      </c>
      <c r="Q22" s="10" t="n">
        <v>3</v>
      </c>
      <c r="R22" s="10" t="n">
        <v>3</v>
      </c>
      <c r="S22" s="10" t="n">
        <v>2</v>
      </c>
      <c r="T22" s="17" t="n">
        <f aca="false">ROUND(SUMPRODUCT(L22:S22,{5,15,20,15,15,10,12,8})/5,0)</f>
        <v>59</v>
      </c>
      <c r="U22" s="13" t="s">
        <v>68</v>
      </c>
      <c r="V22" s="18" t="s">
        <v>398</v>
      </c>
    </row>
    <row r="23" customFormat="false" ht="27.75" hidden="false" customHeight="true" outlineLevel="0" collapsed="false">
      <c r="A23" s="9" t="s">
        <v>164</v>
      </c>
      <c r="B23" s="10" t="s">
        <v>61</v>
      </c>
      <c r="C23" s="10" t="s">
        <v>165</v>
      </c>
      <c r="D23" s="10" t="s">
        <v>384</v>
      </c>
      <c r="E23" s="10" t="s">
        <v>413</v>
      </c>
      <c r="F23" s="10" t="s">
        <v>414</v>
      </c>
      <c r="G23" s="10" t="s">
        <v>415</v>
      </c>
      <c r="H23" s="10" t="s">
        <v>416</v>
      </c>
      <c r="I23" s="10" t="s">
        <v>417</v>
      </c>
      <c r="J23" s="10" t="s">
        <v>418</v>
      </c>
      <c r="K23" s="10" t="s">
        <v>419</v>
      </c>
      <c r="L23" s="10" t="n">
        <v>4</v>
      </c>
      <c r="M23" s="10" t="n">
        <v>3</v>
      </c>
      <c r="N23" s="10" t="n">
        <v>4</v>
      </c>
      <c r="O23" s="10" t="n">
        <v>3</v>
      </c>
      <c r="P23" s="10" t="n">
        <v>3</v>
      </c>
      <c r="Q23" s="10" t="n">
        <v>2</v>
      </c>
      <c r="R23" s="10" t="n">
        <v>3</v>
      </c>
      <c r="S23" s="10" t="n">
        <v>2</v>
      </c>
      <c r="T23" s="17" t="n">
        <f aca="false">ROUND(SUMPRODUCT(L23:S23,{5,15,20,15,15,10,12,8})/5,0)</f>
        <v>61</v>
      </c>
      <c r="U23" s="13" t="s">
        <v>68</v>
      </c>
      <c r="V23" s="18" t="s">
        <v>420</v>
      </c>
    </row>
    <row r="24" customFormat="false" ht="18.75" hidden="false" customHeight="true" outlineLevel="0" collapsed="false">
      <c r="A24" s="9" t="s">
        <v>179</v>
      </c>
      <c r="B24" s="10" t="s">
        <v>121</v>
      </c>
      <c r="C24" s="10" t="s">
        <v>180</v>
      </c>
      <c r="D24" s="10" t="s">
        <v>421</v>
      </c>
      <c r="E24" s="10" t="s">
        <v>422</v>
      </c>
      <c r="F24" s="10" t="s">
        <v>423</v>
      </c>
      <c r="G24" s="10" t="s">
        <v>424</v>
      </c>
      <c r="H24" s="10" t="s">
        <v>425</v>
      </c>
      <c r="I24" s="10" t="s">
        <v>389</v>
      </c>
      <c r="J24" s="10" t="s">
        <v>328</v>
      </c>
      <c r="K24" s="10" t="s">
        <v>426</v>
      </c>
      <c r="L24" s="10" t="n">
        <v>4</v>
      </c>
      <c r="M24" s="10" t="n">
        <v>3</v>
      </c>
      <c r="N24" s="10" t="n">
        <v>3</v>
      </c>
      <c r="O24" s="10" t="n">
        <v>3</v>
      </c>
      <c r="P24" s="10" t="n">
        <v>3</v>
      </c>
      <c r="Q24" s="10" t="n">
        <v>3</v>
      </c>
      <c r="R24" s="10" t="n">
        <v>2</v>
      </c>
      <c r="S24" s="10" t="n">
        <v>3</v>
      </c>
      <c r="T24" s="17" t="n">
        <f aca="false">ROUND(SUMPRODUCT(L24:S24,{5,15,20,15,15,10,12,8})/5,0)</f>
        <v>59</v>
      </c>
      <c r="U24" s="13" t="s">
        <v>68</v>
      </c>
      <c r="V24" s="18" t="s">
        <v>427</v>
      </c>
    </row>
    <row r="25" customFormat="false" ht="27.75" hidden="false" customHeight="true" outlineLevel="0" collapsed="false">
      <c r="A25" s="9" t="s">
        <v>166</v>
      </c>
      <c r="B25" s="10" t="s">
        <v>121</v>
      </c>
      <c r="C25" s="10" t="s">
        <v>167</v>
      </c>
      <c r="D25" s="10" t="s">
        <v>384</v>
      </c>
      <c r="E25" s="10" t="s">
        <v>428</v>
      </c>
      <c r="F25" s="10" t="s">
        <v>429</v>
      </c>
      <c r="G25" s="10" t="s">
        <v>430</v>
      </c>
      <c r="H25" s="10" t="s">
        <v>431</v>
      </c>
      <c r="I25" s="10" t="s">
        <v>432</v>
      </c>
      <c r="J25" s="10" t="s">
        <v>433</v>
      </c>
      <c r="K25" s="10" t="s">
        <v>434</v>
      </c>
      <c r="L25" s="10" t="n">
        <v>3</v>
      </c>
      <c r="M25" s="10" t="n">
        <v>3</v>
      </c>
      <c r="N25" s="10" t="n">
        <v>4</v>
      </c>
      <c r="O25" s="10" t="n">
        <v>3</v>
      </c>
      <c r="P25" s="10" t="n">
        <v>4</v>
      </c>
      <c r="Q25" s="10" t="n">
        <v>3</v>
      </c>
      <c r="R25" s="10" t="n">
        <v>1</v>
      </c>
      <c r="S25" s="10" t="n">
        <v>2</v>
      </c>
      <c r="T25" s="17" t="n">
        <f aca="false">ROUND(SUMPRODUCT(L25:S25,{5,15,20,15,15,10,12,8})/5,0)</f>
        <v>61</v>
      </c>
      <c r="U25" s="12" t="s">
        <v>98</v>
      </c>
      <c r="V25" s="18" t="s">
        <v>435</v>
      </c>
    </row>
    <row r="26" customFormat="false" ht="18.75" hidden="false" customHeight="true" outlineLevel="0" collapsed="false">
      <c r="A26" s="9" t="s">
        <v>168</v>
      </c>
      <c r="B26" s="10" t="s">
        <v>121</v>
      </c>
      <c r="C26" s="10" t="s">
        <v>169</v>
      </c>
      <c r="D26" s="10" t="s">
        <v>436</v>
      </c>
      <c r="E26" s="10" t="s">
        <v>437</v>
      </c>
      <c r="F26" s="10" t="s">
        <v>438</v>
      </c>
      <c r="G26" s="10" t="s">
        <v>439</v>
      </c>
      <c r="H26" s="10" t="s">
        <v>440</v>
      </c>
      <c r="I26" s="10" t="s">
        <v>441</v>
      </c>
      <c r="J26" s="10" t="s">
        <v>442</v>
      </c>
      <c r="K26" s="10" t="s">
        <v>443</v>
      </c>
      <c r="L26" s="10" t="n">
        <v>3</v>
      </c>
      <c r="M26" s="10" t="n">
        <v>3</v>
      </c>
      <c r="N26" s="10" t="n">
        <v>5</v>
      </c>
      <c r="O26" s="10" t="n">
        <v>2</v>
      </c>
      <c r="P26" s="10" t="n">
        <v>4</v>
      </c>
      <c r="Q26" s="10" t="n">
        <v>2</v>
      </c>
      <c r="R26" s="10" t="n">
        <v>2</v>
      </c>
      <c r="S26" s="10" t="n">
        <v>1</v>
      </c>
      <c r="T26" s="17" t="n">
        <f aca="false">ROUND(SUMPRODUCT(L26:S26,{5,15,20,15,15,10,12,8})/5,0)</f>
        <v>60</v>
      </c>
      <c r="U26" s="12" t="s">
        <v>170</v>
      </c>
      <c r="V26" s="18" t="s">
        <v>444</v>
      </c>
    </row>
    <row r="27" customFormat="false" ht="18.75" hidden="false" customHeight="true" outlineLevel="0" collapsed="false">
      <c r="A27" s="9" t="s">
        <v>194</v>
      </c>
      <c r="B27" s="10" t="s">
        <v>121</v>
      </c>
      <c r="C27" s="10" t="s">
        <v>195</v>
      </c>
      <c r="D27" s="10" t="s">
        <v>445</v>
      </c>
      <c r="E27" s="10" t="s">
        <v>446</v>
      </c>
      <c r="F27" s="10" t="s">
        <v>447</v>
      </c>
      <c r="G27" s="10" t="s">
        <v>448</v>
      </c>
      <c r="H27" s="10" t="s">
        <v>449</v>
      </c>
      <c r="I27" s="10" t="s">
        <v>450</v>
      </c>
      <c r="J27" s="10" t="s">
        <v>451</v>
      </c>
      <c r="K27" s="10" t="s">
        <v>452</v>
      </c>
      <c r="L27" s="10" t="n">
        <v>3</v>
      </c>
      <c r="M27" s="10" t="n">
        <v>3</v>
      </c>
      <c r="N27" s="10" t="n">
        <v>4</v>
      </c>
      <c r="O27" s="10" t="n">
        <v>2</v>
      </c>
      <c r="P27" s="10" t="n">
        <v>3</v>
      </c>
      <c r="Q27" s="10" t="n">
        <v>3</v>
      </c>
      <c r="R27" s="10" t="n">
        <v>1</v>
      </c>
      <c r="S27" s="10" t="n">
        <v>3</v>
      </c>
      <c r="T27" s="17" t="n">
        <f aca="false">ROUND(SUMPRODUCT(L27:S27,{5,15,20,15,15,10,12,8})/5,0)</f>
        <v>56</v>
      </c>
      <c r="U27" s="12" t="s">
        <v>98</v>
      </c>
      <c r="V27" s="18" t="s">
        <v>453</v>
      </c>
    </row>
    <row r="28" customFormat="false" ht="15" hidden="false" customHeight="true" outlineLevel="0" collapsed="false">
      <c r="A28" s="9" t="s">
        <v>210</v>
      </c>
      <c r="B28" s="10" t="s">
        <v>121</v>
      </c>
      <c r="C28" s="10" t="s">
        <v>211</v>
      </c>
      <c r="D28" s="10" t="s">
        <v>454</v>
      </c>
      <c r="E28" s="10" t="s">
        <v>455</v>
      </c>
      <c r="F28" s="10" t="s">
        <v>456</v>
      </c>
      <c r="G28" s="10" t="s">
        <v>457</v>
      </c>
      <c r="H28" s="10" t="s">
        <v>458</v>
      </c>
      <c r="I28" s="10" t="s">
        <v>456</v>
      </c>
      <c r="J28" s="10" t="s">
        <v>456</v>
      </c>
      <c r="K28" s="10" t="s">
        <v>458</v>
      </c>
      <c r="L28" s="10" t="n">
        <v>2</v>
      </c>
      <c r="M28" s="10" t="n">
        <v>2</v>
      </c>
      <c r="N28" s="10" t="n">
        <v>3</v>
      </c>
      <c r="O28" s="10" t="n">
        <v>1</v>
      </c>
      <c r="P28" s="10" t="n">
        <v>2</v>
      </c>
      <c r="Q28" s="10" t="n">
        <v>2</v>
      </c>
      <c r="R28" s="10" t="n">
        <v>3</v>
      </c>
      <c r="S28" s="10" t="n">
        <v>3</v>
      </c>
      <c r="T28" s="17" t="n">
        <f aca="false">ROUND(SUMPRODUCT(L28:S28,{5,15,20,15,15,10,12,8})/5,0)</f>
        <v>45</v>
      </c>
      <c r="U28" s="12" t="s">
        <v>98</v>
      </c>
      <c r="V28" s="18" t="s">
        <v>459</v>
      </c>
    </row>
    <row r="29" customFormat="false" ht="18.75" hidden="false" customHeight="true" outlineLevel="0" collapsed="false">
      <c r="A29" s="9" t="s">
        <v>196</v>
      </c>
      <c r="B29" s="10" t="s">
        <v>91</v>
      </c>
      <c r="C29" s="10" t="s">
        <v>197</v>
      </c>
      <c r="D29" s="10" t="s">
        <v>407</v>
      </c>
      <c r="E29" s="10" t="s">
        <v>460</v>
      </c>
      <c r="F29" s="10" t="s">
        <v>456</v>
      </c>
      <c r="G29" s="10" t="s">
        <v>461</v>
      </c>
      <c r="H29" s="10" t="s">
        <v>462</v>
      </c>
      <c r="I29" s="10" t="s">
        <v>456</v>
      </c>
      <c r="J29" s="10" t="s">
        <v>456</v>
      </c>
      <c r="K29" s="10" t="s">
        <v>456</v>
      </c>
      <c r="L29" s="10" t="n">
        <v>3</v>
      </c>
      <c r="M29" s="10" t="n">
        <v>3</v>
      </c>
      <c r="N29" s="10" t="n">
        <v>4</v>
      </c>
      <c r="O29" s="10" t="n">
        <v>1</v>
      </c>
      <c r="P29" s="10" t="n">
        <v>4</v>
      </c>
      <c r="Q29" s="10" t="n">
        <v>3</v>
      </c>
      <c r="R29" s="10" t="n">
        <v>1</v>
      </c>
      <c r="S29" s="10" t="n">
        <v>3</v>
      </c>
      <c r="T29" s="17" t="n">
        <f aca="false">ROUND(SUMPRODUCT(L29:S29,{5,15,20,15,15,10,12,8})/5,0)</f>
        <v>56</v>
      </c>
      <c r="U29" s="12" t="s">
        <v>98</v>
      </c>
      <c r="V29" s="18" t="s">
        <v>463</v>
      </c>
    </row>
    <row r="30" customFormat="false" ht="15" hidden="false" customHeight="true" outlineLevel="0" collapsed="false">
      <c r="A30" s="9" t="s">
        <v>198</v>
      </c>
      <c r="B30" s="10" t="s">
        <v>91</v>
      </c>
      <c r="C30" s="10" t="s">
        <v>199</v>
      </c>
      <c r="D30" s="10" t="s">
        <v>384</v>
      </c>
      <c r="E30" s="10" t="s">
        <v>464</v>
      </c>
      <c r="F30" s="10" t="s">
        <v>456</v>
      </c>
      <c r="G30" s="10" t="s">
        <v>465</v>
      </c>
      <c r="H30" s="10" t="s">
        <v>458</v>
      </c>
      <c r="I30" s="10" t="s">
        <v>456</v>
      </c>
      <c r="J30" s="10" t="s">
        <v>456</v>
      </c>
      <c r="K30" s="10" t="s">
        <v>456</v>
      </c>
      <c r="L30" s="10" t="n">
        <v>3</v>
      </c>
      <c r="M30" s="10" t="n">
        <v>3</v>
      </c>
      <c r="N30" s="10" t="n">
        <v>4</v>
      </c>
      <c r="O30" s="10" t="n">
        <v>2</v>
      </c>
      <c r="P30" s="10" t="n">
        <v>4</v>
      </c>
      <c r="Q30" s="10" t="n">
        <v>2</v>
      </c>
      <c r="R30" s="10" t="n">
        <v>2</v>
      </c>
      <c r="S30" s="10" t="n">
        <v>1</v>
      </c>
      <c r="T30" s="17" t="n">
        <f aca="false">ROUND(SUMPRODUCT(L30:S30,{5,15,20,15,15,10,12,8})/5,0)</f>
        <v>56</v>
      </c>
      <c r="U30" s="12" t="s">
        <v>200</v>
      </c>
      <c r="V30" s="18" t="s">
        <v>466</v>
      </c>
    </row>
    <row r="31" customFormat="false" ht="27.75" hidden="false" customHeight="true" outlineLevel="0" collapsed="false">
      <c r="A31" s="9" t="s">
        <v>156</v>
      </c>
      <c r="B31" s="10" t="s">
        <v>157</v>
      </c>
      <c r="C31" s="10" t="s">
        <v>158</v>
      </c>
      <c r="D31" s="10" t="s">
        <v>467</v>
      </c>
      <c r="E31" s="10" t="s">
        <v>468</v>
      </c>
      <c r="F31" s="10" t="s">
        <v>469</v>
      </c>
      <c r="G31" s="10" t="s">
        <v>470</v>
      </c>
      <c r="H31" s="10" t="s">
        <v>471</v>
      </c>
      <c r="I31" s="10" t="s">
        <v>472</v>
      </c>
      <c r="J31" s="10" t="s">
        <v>473</v>
      </c>
      <c r="K31" s="10" t="s">
        <v>474</v>
      </c>
      <c r="L31" s="10" t="n">
        <v>5</v>
      </c>
      <c r="M31" s="10" t="n">
        <v>3</v>
      </c>
      <c r="N31" s="10" t="n">
        <v>4</v>
      </c>
      <c r="O31" s="10" t="n">
        <v>4</v>
      </c>
      <c r="P31" s="10" t="n">
        <v>2</v>
      </c>
      <c r="Q31" s="10" t="n">
        <v>2</v>
      </c>
      <c r="R31" s="10" t="n">
        <v>2</v>
      </c>
      <c r="S31" s="10" t="n">
        <v>3</v>
      </c>
      <c r="T31" s="17" t="n">
        <f aca="false">ROUND(SUMPRODUCT(L31:S31,{5,15,20,15,15,10,12,8})/5,0)</f>
        <v>62</v>
      </c>
      <c r="U31" s="13" t="s">
        <v>159</v>
      </c>
      <c r="V31" s="18" t="s">
        <v>475</v>
      </c>
    </row>
    <row r="32" customFormat="false" ht="36.75" hidden="false" customHeight="true" outlineLevel="0" collapsed="false">
      <c r="A32" s="9" t="s">
        <v>99</v>
      </c>
      <c r="B32" s="10" t="s">
        <v>85</v>
      </c>
      <c r="C32" s="10" t="s">
        <v>100</v>
      </c>
      <c r="D32" s="10" t="s">
        <v>476</v>
      </c>
      <c r="E32" s="10" t="s">
        <v>477</v>
      </c>
      <c r="F32" s="10" t="s">
        <v>478</v>
      </c>
      <c r="G32" s="10" t="s">
        <v>479</v>
      </c>
      <c r="H32" s="10" t="s">
        <v>480</v>
      </c>
      <c r="I32" s="10" t="s">
        <v>481</v>
      </c>
      <c r="J32" s="10" t="s">
        <v>482</v>
      </c>
      <c r="K32" s="10" t="s">
        <v>483</v>
      </c>
      <c r="L32" s="10" t="n">
        <v>3</v>
      </c>
      <c r="M32" s="10" t="n">
        <v>4</v>
      </c>
      <c r="N32" s="10" t="n">
        <v>4</v>
      </c>
      <c r="O32" s="10" t="n">
        <v>4</v>
      </c>
      <c r="P32" s="10" t="n">
        <v>3</v>
      </c>
      <c r="Q32" s="10" t="n">
        <v>3</v>
      </c>
      <c r="R32" s="10" t="n">
        <v>3</v>
      </c>
      <c r="S32" s="10" t="n">
        <v>2</v>
      </c>
      <c r="T32" s="17" t="n">
        <f aca="false">ROUND(SUMPRODUCT(L32:S32,{5,15,20,15,15,10,12,8})/5,0)</f>
        <v>68</v>
      </c>
      <c r="U32" s="13" t="s">
        <v>68</v>
      </c>
      <c r="V32" s="18" t="s">
        <v>484</v>
      </c>
    </row>
    <row r="33" customFormat="false" ht="36.75" hidden="false" customHeight="true" outlineLevel="0" collapsed="false">
      <c r="A33" s="9" t="s">
        <v>171</v>
      </c>
      <c r="B33" s="10" t="s">
        <v>85</v>
      </c>
      <c r="C33" s="10" t="s">
        <v>172</v>
      </c>
      <c r="D33" s="10" t="s">
        <v>485</v>
      </c>
      <c r="E33" s="10" t="s">
        <v>486</v>
      </c>
      <c r="F33" s="10" t="s">
        <v>487</v>
      </c>
      <c r="G33" s="10" t="s">
        <v>488</v>
      </c>
      <c r="H33" s="10" t="s">
        <v>489</v>
      </c>
      <c r="I33" s="10" t="s">
        <v>490</v>
      </c>
      <c r="J33" s="10" t="s">
        <v>328</v>
      </c>
      <c r="K33" s="10" t="s">
        <v>491</v>
      </c>
      <c r="L33" s="10" t="n">
        <v>3</v>
      </c>
      <c r="M33" s="10" t="n">
        <v>4</v>
      </c>
      <c r="N33" s="10" t="n">
        <v>3</v>
      </c>
      <c r="O33" s="10" t="n">
        <v>3</v>
      </c>
      <c r="P33" s="10" t="n">
        <v>3</v>
      </c>
      <c r="Q33" s="10" t="n">
        <v>2</v>
      </c>
      <c r="R33" s="10" t="n">
        <v>2</v>
      </c>
      <c r="S33" s="10" t="n">
        <v>4</v>
      </c>
      <c r="T33" s="17" t="n">
        <f aca="false">ROUND(SUMPRODUCT(L33:S33,{5,15,20,15,15,10,12,8})/5,0)</f>
        <v>60</v>
      </c>
      <c r="U33" s="13" t="s">
        <v>68</v>
      </c>
      <c r="V33" s="18" t="s">
        <v>492</v>
      </c>
    </row>
    <row r="34" customFormat="false" ht="27.75" hidden="false" customHeight="true" outlineLevel="0" collapsed="false">
      <c r="A34" s="9" t="s">
        <v>201</v>
      </c>
      <c r="B34" s="10" t="s">
        <v>85</v>
      </c>
      <c r="C34" s="10" t="s">
        <v>202</v>
      </c>
      <c r="D34" s="10" t="s">
        <v>493</v>
      </c>
      <c r="E34" s="10" t="s">
        <v>494</v>
      </c>
      <c r="F34" s="10" t="s">
        <v>495</v>
      </c>
      <c r="G34" s="10" t="s">
        <v>496</v>
      </c>
      <c r="H34" s="10" t="s">
        <v>497</v>
      </c>
      <c r="I34" s="10" t="s">
        <v>389</v>
      </c>
      <c r="J34" s="10" t="s">
        <v>498</v>
      </c>
      <c r="K34" s="10" t="s">
        <v>499</v>
      </c>
      <c r="L34" s="10" t="n">
        <v>4</v>
      </c>
      <c r="M34" s="10" t="n">
        <v>3</v>
      </c>
      <c r="N34" s="10" t="n">
        <v>3</v>
      </c>
      <c r="O34" s="10" t="n">
        <v>3</v>
      </c>
      <c r="P34" s="10" t="n">
        <v>2</v>
      </c>
      <c r="Q34" s="10" t="n">
        <v>2</v>
      </c>
      <c r="R34" s="10" t="n">
        <v>3</v>
      </c>
      <c r="S34" s="10" t="n">
        <v>3</v>
      </c>
      <c r="T34" s="17" t="n">
        <f aca="false">ROUND(SUMPRODUCT(L34:S34,{5,15,20,15,15,10,12,8})/5,0)</f>
        <v>56</v>
      </c>
      <c r="U34" s="12" t="s">
        <v>203</v>
      </c>
      <c r="V34" s="18" t="s">
        <v>500</v>
      </c>
    </row>
    <row r="35" customFormat="false" ht="36.75" hidden="false" customHeight="true" outlineLevel="0" collapsed="false">
      <c r="A35" s="9" t="s">
        <v>113</v>
      </c>
      <c r="B35" s="10" t="s">
        <v>61</v>
      </c>
      <c r="C35" s="10" t="s">
        <v>114</v>
      </c>
      <c r="D35" s="10" t="s">
        <v>501</v>
      </c>
      <c r="E35" s="10" t="s">
        <v>502</v>
      </c>
      <c r="F35" s="10" t="s">
        <v>503</v>
      </c>
      <c r="G35" s="10" t="s">
        <v>504</v>
      </c>
      <c r="H35" s="10" t="s">
        <v>505</v>
      </c>
      <c r="I35" s="10" t="s">
        <v>506</v>
      </c>
      <c r="J35" s="10" t="s">
        <v>507</v>
      </c>
      <c r="K35" s="10" t="s">
        <v>508</v>
      </c>
      <c r="L35" s="10" t="n">
        <v>5</v>
      </c>
      <c r="M35" s="10" t="n">
        <v>4</v>
      </c>
      <c r="N35" s="10" t="n">
        <v>5</v>
      </c>
      <c r="O35" s="10" t="n">
        <v>2</v>
      </c>
      <c r="P35" s="10" t="n">
        <v>4</v>
      </c>
      <c r="Q35" s="10" t="n">
        <v>3</v>
      </c>
      <c r="R35" s="10" t="n">
        <v>2</v>
      </c>
      <c r="S35" s="10" t="n">
        <v>1</v>
      </c>
      <c r="T35" s="17" t="n">
        <f aca="false">ROUND(SUMPRODUCT(L35:S35,{5,15,20,15,15,10,12,8})/5,0)</f>
        <v>67</v>
      </c>
      <c r="U35" s="13" t="s">
        <v>115</v>
      </c>
      <c r="V35" s="18" t="s">
        <v>509</v>
      </c>
    </row>
    <row r="36" customFormat="false" ht="27.75" hidden="false" customHeight="true" outlineLevel="0" collapsed="false">
      <c r="A36" s="9" t="s">
        <v>160</v>
      </c>
      <c r="B36" s="10" t="s">
        <v>61</v>
      </c>
      <c r="C36" s="10" t="s">
        <v>161</v>
      </c>
      <c r="D36" s="10" t="s">
        <v>510</v>
      </c>
      <c r="E36" s="10" t="s">
        <v>511</v>
      </c>
      <c r="F36" s="10" t="s">
        <v>512</v>
      </c>
      <c r="G36" s="10" t="s">
        <v>513</v>
      </c>
      <c r="H36" s="10" t="s">
        <v>514</v>
      </c>
      <c r="I36" s="10" t="s">
        <v>515</v>
      </c>
      <c r="J36" s="10" t="s">
        <v>381</v>
      </c>
      <c r="K36" s="10" t="s">
        <v>516</v>
      </c>
      <c r="L36" s="10" t="n">
        <v>5</v>
      </c>
      <c r="M36" s="10" t="n">
        <v>4</v>
      </c>
      <c r="N36" s="10" t="n">
        <v>4</v>
      </c>
      <c r="O36" s="10" t="n">
        <v>3</v>
      </c>
      <c r="P36" s="10" t="n">
        <v>3</v>
      </c>
      <c r="Q36" s="10" t="n">
        <v>2</v>
      </c>
      <c r="R36" s="10" t="n">
        <v>1</v>
      </c>
      <c r="S36" s="10" t="n">
        <v>3</v>
      </c>
      <c r="T36" s="17" t="n">
        <f aca="false">ROUND(SUMPRODUCT(L36:S36,{5,15,20,15,15,10,12,8})/5,0)</f>
        <v>62</v>
      </c>
      <c r="U36" s="13" t="s">
        <v>68</v>
      </c>
      <c r="V36" s="18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9"/>
    <col collapsed="false" customWidth="true" hidden="false" outlineLevel="0" max="2" min="2" style="15" width="17"/>
    <col collapsed="false" customWidth="true" hidden="false" outlineLevel="0" max="3" min="3" style="15" width="46"/>
    <col collapsed="false" customWidth="true" hidden="false" outlineLevel="0" max="4" min="4" style="15" width="26"/>
    <col collapsed="false" customWidth="true" hidden="false" outlineLevel="0" max="5" min="5" style="15" width="28"/>
    <col collapsed="false" customWidth="true" hidden="false" outlineLevel="0" max="6" min="6" style="15" width="24"/>
    <col collapsed="false" customWidth="true" hidden="false" outlineLevel="0" max="7" min="7" style="15" width="42"/>
    <col collapsed="false" customWidth="true" hidden="false" outlineLevel="0" max="8" min="8" style="15" width="34"/>
    <col collapsed="false" customWidth="true" hidden="false" outlineLevel="0" max="9" min="9" style="15" width="28"/>
    <col collapsed="false" customWidth="true" hidden="false" outlineLevel="0" max="10" min="10" style="15" width="18"/>
    <col collapsed="false" customWidth="true" hidden="false" outlineLevel="0" max="11" min="11" style="15" width="28"/>
    <col collapsed="false" customWidth="true" hidden="false" outlineLevel="0" max="19" min="12" style="15" width="5"/>
    <col collapsed="false" customWidth="true" hidden="false" outlineLevel="0" max="20" min="20" style="15" width="9"/>
    <col collapsed="false" customWidth="true" hidden="false" outlineLevel="0" max="21" min="21" style="15" width="22"/>
    <col collapsed="false" customWidth="true" hidden="false" outlineLevel="0" max="22" min="22" style="15" width="30"/>
  </cols>
  <sheetData>
    <row r="1" customFormat="false" ht="21.75" hidden="false" customHeight="true" outlineLevel="0" collapsed="false">
      <c r="A1" s="19" t="s">
        <v>2</v>
      </c>
      <c r="B1" s="19" t="s">
        <v>46</v>
      </c>
      <c r="C1" s="19" t="s">
        <v>212</v>
      </c>
      <c r="D1" s="19" t="s">
        <v>213</v>
      </c>
      <c r="E1" s="19" t="s">
        <v>214</v>
      </c>
      <c r="F1" s="19" t="s">
        <v>215</v>
      </c>
      <c r="G1" s="19" t="s">
        <v>216</v>
      </c>
      <c r="H1" s="19" t="s">
        <v>217</v>
      </c>
      <c r="I1" s="19" t="s">
        <v>218</v>
      </c>
      <c r="J1" s="19" t="s">
        <v>219</v>
      </c>
      <c r="K1" s="19" t="s">
        <v>220</v>
      </c>
      <c r="L1" s="19" t="s">
        <v>221</v>
      </c>
      <c r="M1" s="19" t="s">
        <v>222</v>
      </c>
      <c r="N1" s="19" t="s">
        <v>223</v>
      </c>
      <c r="O1" s="19" t="s">
        <v>224</v>
      </c>
      <c r="P1" s="19" t="s">
        <v>225</v>
      </c>
      <c r="Q1" s="19" t="s">
        <v>226</v>
      </c>
      <c r="R1" s="19" t="s">
        <v>227</v>
      </c>
      <c r="S1" s="19" t="s">
        <v>228</v>
      </c>
      <c r="T1" s="19" t="s">
        <v>229</v>
      </c>
      <c r="U1" s="19" t="s">
        <v>230</v>
      </c>
      <c r="V1" s="19" t="s">
        <v>231</v>
      </c>
    </row>
    <row r="2" customFormat="false" ht="45.75" hidden="false" customHeight="true" outlineLevel="0" collapsed="false">
      <c r="A2" s="9" t="s">
        <v>11</v>
      </c>
      <c r="B2" s="10" t="s">
        <v>54</v>
      </c>
      <c r="C2" s="10" t="s">
        <v>55</v>
      </c>
      <c r="D2" s="10" t="s">
        <v>518</v>
      </c>
      <c r="E2" s="10" t="s">
        <v>519</v>
      </c>
      <c r="F2" s="10" t="s">
        <v>520</v>
      </c>
      <c r="G2" s="10" t="s">
        <v>521</v>
      </c>
      <c r="H2" s="10" t="s">
        <v>522</v>
      </c>
      <c r="I2" s="10" t="s">
        <v>523</v>
      </c>
      <c r="J2" s="10" t="s">
        <v>524</v>
      </c>
      <c r="K2" s="10" t="s">
        <v>525</v>
      </c>
      <c r="L2" s="10" t="n">
        <v>3</v>
      </c>
      <c r="M2" s="10" t="n">
        <v>5</v>
      </c>
      <c r="N2" s="10" t="n">
        <v>5</v>
      </c>
      <c r="O2" s="10" t="n">
        <v>4</v>
      </c>
      <c r="P2" s="10" t="n">
        <v>3</v>
      </c>
      <c r="Q2" s="10" t="n">
        <v>3</v>
      </c>
      <c r="R2" s="10" t="n">
        <v>3</v>
      </c>
      <c r="S2" s="10" t="n">
        <v>3</v>
      </c>
      <c r="T2" s="17" t="n">
        <f aca="false">ROUND(SUMPRODUCT(L2:S2,{5,15,20,15,15,10,12,8})/5,0)</f>
        <v>77</v>
      </c>
      <c r="U2" s="11" t="s">
        <v>56</v>
      </c>
      <c r="V2" s="18" t="s">
        <v>526</v>
      </c>
    </row>
    <row r="3" customFormat="false" ht="36.75" hidden="false" customHeight="true" outlineLevel="0" collapsed="false">
      <c r="A3" s="9" t="s">
        <v>101</v>
      </c>
      <c r="B3" s="10" t="s">
        <v>61</v>
      </c>
      <c r="C3" s="10" t="s">
        <v>102</v>
      </c>
      <c r="D3" s="10" t="s">
        <v>527</v>
      </c>
      <c r="E3" s="10" t="s">
        <v>528</v>
      </c>
      <c r="F3" s="10" t="s">
        <v>529</v>
      </c>
      <c r="G3" s="10" t="s">
        <v>530</v>
      </c>
      <c r="H3" s="10" t="s">
        <v>531</v>
      </c>
      <c r="I3" s="10" t="s">
        <v>532</v>
      </c>
      <c r="J3" s="10" t="s">
        <v>533</v>
      </c>
      <c r="K3" s="10" t="s">
        <v>534</v>
      </c>
      <c r="L3" s="10" t="n">
        <v>5</v>
      </c>
      <c r="M3" s="10" t="n">
        <v>4</v>
      </c>
      <c r="N3" s="10" t="n">
        <v>4</v>
      </c>
      <c r="O3" s="10" t="n">
        <v>4</v>
      </c>
      <c r="P3" s="10" t="n">
        <v>3</v>
      </c>
      <c r="Q3" s="10" t="n">
        <v>3</v>
      </c>
      <c r="R3" s="10" t="n">
        <v>2</v>
      </c>
      <c r="S3" s="10" t="n">
        <v>2</v>
      </c>
      <c r="T3" s="17" t="n">
        <f aca="false">ROUND(SUMPRODUCT(L3:S3,{5,15,20,15,15,10,12,8})/5,0)</f>
        <v>68</v>
      </c>
      <c r="U3" s="13" t="s">
        <v>103</v>
      </c>
      <c r="V3" s="18" t="s">
        <v>535</v>
      </c>
    </row>
    <row r="4" customFormat="false" ht="27.75" hidden="false" customHeight="true" outlineLevel="0" collapsed="false">
      <c r="A4" s="9" t="s">
        <v>81</v>
      </c>
      <c r="B4" s="10" t="s">
        <v>61</v>
      </c>
      <c r="C4" s="10" t="s">
        <v>82</v>
      </c>
      <c r="D4" s="10" t="s">
        <v>536</v>
      </c>
      <c r="E4" s="10" t="s">
        <v>537</v>
      </c>
      <c r="F4" s="10" t="s">
        <v>538</v>
      </c>
      <c r="G4" s="10" t="s">
        <v>539</v>
      </c>
      <c r="H4" s="10" t="s">
        <v>540</v>
      </c>
      <c r="I4" s="10" t="s">
        <v>541</v>
      </c>
      <c r="J4" s="10" t="s">
        <v>542</v>
      </c>
      <c r="K4" s="10" t="s">
        <v>543</v>
      </c>
      <c r="L4" s="10" t="n">
        <v>2</v>
      </c>
      <c r="M4" s="10" t="n">
        <v>3</v>
      </c>
      <c r="N4" s="10" t="n">
        <v>5</v>
      </c>
      <c r="O4" s="10" t="n">
        <v>5</v>
      </c>
      <c r="P4" s="10" t="n">
        <v>4</v>
      </c>
      <c r="Q4" s="10" t="n">
        <v>2</v>
      </c>
      <c r="R4" s="10" t="n">
        <v>1</v>
      </c>
      <c r="S4" s="10" t="n">
        <v>3</v>
      </c>
      <c r="T4" s="17" t="n">
        <f aca="false">ROUND(SUMPRODUCT(L4:S4,{5,15,20,15,15,10,12,8})/5,0)</f>
        <v>69</v>
      </c>
      <c r="U4" s="13" t="s">
        <v>83</v>
      </c>
      <c r="V4" s="18" t="s">
        <v>544</v>
      </c>
    </row>
    <row r="5" customFormat="false" ht="36.75" hidden="false" customHeight="true" outlineLevel="0" collapsed="false">
      <c r="A5" s="9" t="s">
        <v>104</v>
      </c>
      <c r="B5" s="10" t="s">
        <v>54</v>
      </c>
      <c r="C5" s="10" t="s">
        <v>105</v>
      </c>
      <c r="D5" s="10" t="s">
        <v>545</v>
      </c>
      <c r="E5" s="10" t="s">
        <v>546</v>
      </c>
      <c r="F5" s="10" t="s">
        <v>547</v>
      </c>
      <c r="G5" s="10" t="s">
        <v>548</v>
      </c>
      <c r="H5" s="10" t="s">
        <v>549</v>
      </c>
      <c r="I5" s="10" t="s">
        <v>449</v>
      </c>
      <c r="J5" s="10" t="s">
        <v>328</v>
      </c>
      <c r="K5" s="10" t="s">
        <v>550</v>
      </c>
      <c r="L5" s="10" t="n">
        <v>5</v>
      </c>
      <c r="M5" s="10" t="n">
        <v>4</v>
      </c>
      <c r="N5" s="10" t="n">
        <v>5</v>
      </c>
      <c r="O5" s="10" t="n">
        <v>4</v>
      </c>
      <c r="P5" s="10" t="n">
        <v>3</v>
      </c>
      <c r="Q5" s="10" t="n">
        <v>2</v>
      </c>
      <c r="R5" s="10" t="n">
        <v>1</v>
      </c>
      <c r="S5" s="10" t="n">
        <v>2</v>
      </c>
      <c r="T5" s="17" t="n">
        <f aca="false">ROUND(SUMPRODUCT(L5:S5,{5,15,20,15,15,10,12,8})/5,0)</f>
        <v>68</v>
      </c>
      <c r="U5" s="13" t="s">
        <v>106</v>
      </c>
      <c r="V5" s="18" t="s">
        <v>551</v>
      </c>
    </row>
    <row r="6" customFormat="false" ht="18.75" hidden="false" customHeight="true" outlineLevel="0" collapsed="false">
      <c r="A6" s="9" t="s">
        <v>116</v>
      </c>
      <c r="B6" s="10" t="s">
        <v>64</v>
      </c>
      <c r="C6" s="10" t="s">
        <v>117</v>
      </c>
      <c r="D6" s="10" t="s">
        <v>407</v>
      </c>
      <c r="E6" s="10" t="s">
        <v>552</v>
      </c>
      <c r="F6" s="10" t="s">
        <v>553</v>
      </c>
      <c r="G6" s="10" t="s">
        <v>554</v>
      </c>
      <c r="H6" s="10" t="s">
        <v>555</v>
      </c>
      <c r="I6" s="10" t="s">
        <v>389</v>
      </c>
      <c r="J6" s="10" t="s">
        <v>328</v>
      </c>
      <c r="K6" s="10" t="s">
        <v>556</v>
      </c>
      <c r="L6" s="10" t="n">
        <v>4</v>
      </c>
      <c r="M6" s="10" t="n">
        <v>4</v>
      </c>
      <c r="N6" s="10" t="n">
        <v>4</v>
      </c>
      <c r="O6" s="10" t="n">
        <v>4</v>
      </c>
      <c r="P6" s="10" t="n">
        <v>4</v>
      </c>
      <c r="Q6" s="10" t="n">
        <v>2</v>
      </c>
      <c r="R6" s="10" t="n">
        <v>1</v>
      </c>
      <c r="S6" s="10" t="n">
        <v>3</v>
      </c>
      <c r="T6" s="17" t="n">
        <f aca="false">ROUND(SUMPRODUCT(L6:S6,{5,15,20,15,15,10,12,8})/5,0)</f>
        <v>67</v>
      </c>
      <c r="U6" s="13" t="s">
        <v>68</v>
      </c>
      <c r="V6" s="18" t="s">
        <v>557</v>
      </c>
    </row>
    <row r="7" customFormat="false" ht="18.75" hidden="false" customHeight="true" outlineLevel="0" collapsed="false">
      <c r="A7" s="9" t="s">
        <v>27</v>
      </c>
      <c r="B7" s="10" t="s">
        <v>64</v>
      </c>
      <c r="C7" s="10" t="s">
        <v>67</v>
      </c>
      <c r="D7" s="10" t="s">
        <v>407</v>
      </c>
      <c r="E7" s="10" t="s">
        <v>558</v>
      </c>
      <c r="F7" s="10" t="s">
        <v>436</v>
      </c>
      <c r="G7" s="10" t="s">
        <v>559</v>
      </c>
      <c r="H7" s="10" t="s">
        <v>560</v>
      </c>
      <c r="I7" s="10" t="s">
        <v>456</v>
      </c>
      <c r="J7" s="10" t="s">
        <v>456</v>
      </c>
      <c r="K7" s="10" t="s">
        <v>561</v>
      </c>
      <c r="L7" s="10" t="n">
        <v>3</v>
      </c>
      <c r="M7" s="10" t="n">
        <v>4</v>
      </c>
      <c r="N7" s="10" t="n">
        <v>5</v>
      </c>
      <c r="O7" s="10" t="n">
        <v>4</v>
      </c>
      <c r="P7" s="10" t="n">
        <v>4</v>
      </c>
      <c r="Q7" s="10" t="n">
        <v>2</v>
      </c>
      <c r="R7" s="10" t="n">
        <v>2</v>
      </c>
      <c r="S7" s="10" t="n">
        <v>3</v>
      </c>
      <c r="T7" s="17" t="n">
        <f aca="false">ROUND(SUMPRODUCT(L7:S7,{5,15,20,15,15,10,12,8})/5,0)</f>
        <v>73</v>
      </c>
      <c r="U7" s="13" t="s">
        <v>68</v>
      </c>
      <c r="V7" s="18" t="s">
        <v>562</v>
      </c>
    </row>
    <row r="8" customFormat="false" ht="18.75" hidden="false" customHeight="true" outlineLevel="0" collapsed="false">
      <c r="A8" s="9" t="s">
        <v>139</v>
      </c>
      <c r="B8" s="10" t="s">
        <v>64</v>
      </c>
      <c r="C8" s="10" t="s">
        <v>140</v>
      </c>
      <c r="D8" s="10" t="s">
        <v>563</v>
      </c>
      <c r="E8" s="10" t="s">
        <v>564</v>
      </c>
      <c r="F8" s="10" t="s">
        <v>565</v>
      </c>
      <c r="G8" s="10" t="s">
        <v>566</v>
      </c>
      <c r="H8" s="10" t="s">
        <v>567</v>
      </c>
      <c r="I8" s="10" t="s">
        <v>456</v>
      </c>
      <c r="J8" s="10" t="s">
        <v>456</v>
      </c>
      <c r="K8" s="10" t="s">
        <v>456</v>
      </c>
      <c r="L8" s="10" t="n">
        <v>4</v>
      </c>
      <c r="M8" s="10" t="n">
        <v>4</v>
      </c>
      <c r="N8" s="10" t="n">
        <v>4</v>
      </c>
      <c r="O8" s="10" t="n">
        <v>3</v>
      </c>
      <c r="P8" s="10" t="n">
        <v>4</v>
      </c>
      <c r="Q8" s="10" t="n">
        <v>2</v>
      </c>
      <c r="R8" s="10" t="n">
        <v>1</v>
      </c>
      <c r="S8" s="10" t="n">
        <v>3</v>
      </c>
      <c r="T8" s="17" t="n">
        <f aca="false">ROUND(SUMPRODUCT(L8:S8,{5,15,20,15,15,10,12,8})/5,0)</f>
        <v>64</v>
      </c>
      <c r="U8" s="12" t="s">
        <v>98</v>
      </c>
      <c r="V8" s="18" t="s">
        <v>568</v>
      </c>
    </row>
    <row r="9" customFormat="false" ht="18.75" hidden="false" customHeight="true" outlineLevel="0" collapsed="false">
      <c r="A9" s="9" t="s">
        <v>36</v>
      </c>
      <c r="B9" s="10" t="s">
        <v>64</v>
      </c>
      <c r="C9" s="10" t="s">
        <v>74</v>
      </c>
      <c r="D9" s="10" t="s">
        <v>569</v>
      </c>
      <c r="E9" s="10" t="s">
        <v>570</v>
      </c>
      <c r="F9" s="10" t="s">
        <v>571</v>
      </c>
      <c r="G9" s="10" t="s">
        <v>572</v>
      </c>
      <c r="H9" s="10" t="s">
        <v>416</v>
      </c>
      <c r="I9" s="10" t="s">
        <v>456</v>
      </c>
      <c r="J9" s="10" t="s">
        <v>573</v>
      </c>
      <c r="K9" s="10" t="s">
        <v>574</v>
      </c>
      <c r="L9" s="10" t="n">
        <v>3</v>
      </c>
      <c r="M9" s="10" t="n">
        <v>5</v>
      </c>
      <c r="N9" s="10" t="n">
        <v>4</v>
      </c>
      <c r="O9" s="10" t="n">
        <v>4</v>
      </c>
      <c r="P9" s="10" t="n">
        <v>3</v>
      </c>
      <c r="Q9" s="10" t="n">
        <v>2</v>
      </c>
      <c r="R9" s="10" t="n">
        <v>3</v>
      </c>
      <c r="S9" s="10" t="n">
        <v>3</v>
      </c>
      <c r="T9" s="17" t="n">
        <f aca="false">ROUND(SUMPRODUCT(L9:S9,{5,15,20,15,15,10,12,8})/5,0)</f>
        <v>71</v>
      </c>
      <c r="U9" s="13" t="s">
        <v>68</v>
      </c>
      <c r="V9" s="18" t="s">
        <v>575</v>
      </c>
    </row>
    <row r="10" customFormat="false" ht="15" hidden="false" customHeight="true" outlineLevel="0" collapsed="false">
      <c r="A10" s="9" t="s">
        <v>84</v>
      </c>
      <c r="B10" s="10" t="s">
        <v>85</v>
      </c>
      <c r="C10" s="10" t="s">
        <v>86</v>
      </c>
      <c r="D10" s="10" t="s">
        <v>576</v>
      </c>
      <c r="E10" s="10" t="s">
        <v>577</v>
      </c>
      <c r="F10" s="10" t="s">
        <v>578</v>
      </c>
      <c r="G10" s="10" t="s">
        <v>579</v>
      </c>
      <c r="H10" s="10" t="s">
        <v>580</v>
      </c>
      <c r="I10" s="10" t="s">
        <v>581</v>
      </c>
      <c r="J10" s="10" t="s">
        <v>582</v>
      </c>
      <c r="K10" s="10" t="s">
        <v>583</v>
      </c>
      <c r="L10" s="10" t="n">
        <v>3</v>
      </c>
      <c r="M10" s="10" t="n">
        <v>5</v>
      </c>
      <c r="N10" s="10" t="n">
        <v>4</v>
      </c>
      <c r="O10" s="10" t="n">
        <v>4</v>
      </c>
      <c r="P10" s="10" t="n">
        <v>3</v>
      </c>
      <c r="Q10" s="10" t="n">
        <v>3</v>
      </c>
      <c r="R10" s="10" t="n">
        <v>2</v>
      </c>
      <c r="S10" s="10" t="n">
        <v>2</v>
      </c>
      <c r="T10" s="17" t="n">
        <f aca="false">ROUND(SUMPRODUCT(L10:S10,{5,15,20,15,15,10,12,8})/5,0)</f>
        <v>69</v>
      </c>
      <c r="U10" s="13" t="s">
        <v>68</v>
      </c>
      <c r="V10" s="18" t="s">
        <v>584</v>
      </c>
    </row>
    <row r="11" customFormat="false" ht="18.75" hidden="false" customHeight="true" outlineLevel="0" collapsed="false">
      <c r="A11" s="9" t="s">
        <v>118</v>
      </c>
      <c r="B11" s="10" t="s">
        <v>61</v>
      </c>
      <c r="C11" s="10" t="s">
        <v>119</v>
      </c>
      <c r="D11" s="10" t="s">
        <v>585</v>
      </c>
      <c r="E11" s="10" t="s">
        <v>586</v>
      </c>
      <c r="F11" s="10" t="s">
        <v>587</v>
      </c>
      <c r="G11" s="10" t="s">
        <v>588</v>
      </c>
      <c r="H11" s="10" t="s">
        <v>589</v>
      </c>
      <c r="I11" s="10" t="s">
        <v>590</v>
      </c>
      <c r="J11" s="10" t="s">
        <v>591</v>
      </c>
      <c r="K11" s="10" t="s">
        <v>592</v>
      </c>
      <c r="L11" s="10" t="n">
        <v>4</v>
      </c>
      <c r="M11" s="10" t="n">
        <v>4</v>
      </c>
      <c r="N11" s="10" t="n">
        <v>4</v>
      </c>
      <c r="O11" s="10" t="n">
        <v>4</v>
      </c>
      <c r="P11" s="10" t="n">
        <v>3</v>
      </c>
      <c r="Q11" s="10" t="n">
        <v>3</v>
      </c>
      <c r="R11" s="10" t="n">
        <v>2</v>
      </c>
      <c r="S11" s="10" t="n">
        <v>2</v>
      </c>
      <c r="T11" s="17" t="n">
        <f aca="false">ROUND(SUMPRODUCT(L11:S11,{5,15,20,15,15,10,12,8})/5,0)</f>
        <v>67</v>
      </c>
      <c r="U11" s="13" t="s">
        <v>68</v>
      </c>
      <c r="V11" s="18" t="s">
        <v>593</v>
      </c>
    </row>
    <row r="12" customFormat="false" ht="15" hidden="false" customHeight="true" outlineLevel="0" collapsed="false">
      <c r="A12" s="9" t="s">
        <v>120</v>
      </c>
      <c r="B12" s="10" t="s">
        <v>121</v>
      </c>
      <c r="C12" s="10" t="s">
        <v>122</v>
      </c>
      <c r="D12" s="10" t="s">
        <v>594</v>
      </c>
      <c r="E12" s="10" t="s">
        <v>595</v>
      </c>
      <c r="F12" s="10" t="s">
        <v>596</v>
      </c>
      <c r="G12" s="10" t="s">
        <v>597</v>
      </c>
      <c r="H12" s="10" t="s">
        <v>598</v>
      </c>
      <c r="I12" s="10" t="s">
        <v>456</v>
      </c>
      <c r="J12" s="10" t="s">
        <v>456</v>
      </c>
      <c r="K12" s="10" t="s">
        <v>599</v>
      </c>
      <c r="L12" s="10" t="n">
        <v>3</v>
      </c>
      <c r="M12" s="10" t="n">
        <v>4</v>
      </c>
      <c r="N12" s="10" t="n">
        <v>4</v>
      </c>
      <c r="O12" s="10" t="n">
        <v>4</v>
      </c>
      <c r="P12" s="10" t="n">
        <v>3</v>
      </c>
      <c r="Q12" s="10" t="n">
        <v>3</v>
      </c>
      <c r="R12" s="10" t="n">
        <v>2</v>
      </c>
      <c r="S12" s="10" t="n">
        <v>2</v>
      </c>
      <c r="T12" s="17" t="n">
        <f aca="false">ROUND(SUMPRODUCT(L12:S12,{5,15,20,15,15,10,12,8})/5,0)</f>
        <v>66</v>
      </c>
      <c r="U12" s="13" t="s">
        <v>68</v>
      </c>
      <c r="V12" s="18" t="s">
        <v>600</v>
      </c>
    </row>
    <row r="13" customFormat="false" ht="18.75" hidden="false" customHeight="true" outlineLevel="0" collapsed="false">
      <c r="A13" s="9" t="s">
        <v>123</v>
      </c>
      <c r="B13" s="10" t="s">
        <v>54</v>
      </c>
      <c r="C13" s="10" t="s">
        <v>124</v>
      </c>
      <c r="D13" s="10" t="s">
        <v>375</v>
      </c>
      <c r="E13" s="10" t="s">
        <v>601</v>
      </c>
      <c r="F13" s="10" t="s">
        <v>602</v>
      </c>
      <c r="G13" s="10" t="s">
        <v>603</v>
      </c>
      <c r="H13" s="10" t="s">
        <v>449</v>
      </c>
      <c r="I13" s="10" t="s">
        <v>456</v>
      </c>
      <c r="J13" s="10" t="s">
        <v>381</v>
      </c>
      <c r="K13" s="10" t="s">
        <v>574</v>
      </c>
      <c r="L13" s="10" t="n">
        <v>4</v>
      </c>
      <c r="M13" s="10" t="n">
        <v>4</v>
      </c>
      <c r="N13" s="10" t="n">
        <v>4</v>
      </c>
      <c r="O13" s="10" t="n">
        <v>3</v>
      </c>
      <c r="P13" s="10" t="n">
        <v>3</v>
      </c>
      <c r="Q13" s="10" t="n">
        <v>3</v>
      </c>
      <c r="R13" s="10" t="n">
        <v>2</v>
      </c>
      <c r="S13" s="10" t="n">
        <v>3</v>
      </c>
      <c r="T13" s="17" t="n">
        <f aca="false">ROUND(SUMPRODUCT(L13:S13,{5,15,20,15,15,10,12,8})/5,0)</f>
        <v>66</v>
      </c>
      <c r="U13" s="13" t="s">
        <v>68</v>
      </c>
      <c r="V13" s="18" t="s">
        <v>604</v>
      </c>
    </row>
    <row r="14" customFormat="false" ht="18.75" hidden="false" customHeight="true" outlineLevel="0" collapsed="false">
      <c r="A14" s="9" t="s">
        <v>129</v>
      </c>
      <c r="B14" s="10" t="s">
        <v>121</v>
      </c>
      <c r="C14" s="10" t="s">
        <v>130</v>
      </c>
      <c r="D14" s="10" t="s">
        <v>605</v>
      </c>
      <c r="E14" s="10" t="s">
        <v>606</v>
      </c>
      <c r="F14" s="10" t="s">
        <v>607</v>
      </c>
      <c r="G14" s="10" t="s">
        <v>608</v>
      </c>
      <c r="H14" s="10" t="s">
        <v>609</v>
      </c>
      <c r="I14" s="10" t="s">
        <v>456</v>
      </c>
      <c r="J14" s="10" t="s">
        <v>456</v>
      </c>
      <c r="K14" s="10" t="s">
        <v>610</v>
      </c>
      <c r="L14" s="10" t="n">
        <v>2</v>
      </c>
      <c r="M14" s="10" t="n">
        <v>5</v>
      </c>
      <c r="N14" s="10" t="n">
        <v>4</v>
      </c>
      <c r="O14" s="10" t="n">
        <v>4</v>
      </c>
      <c r="P14" s="10" t="n">
        <v>3</v>
      </c>
      <c r="Q14" s="10" t="n">
        <v>2</v>
      </c>
      <c r="R14" s="10" t="n">
        <v>1</v>
      </c>
      <c r="S14" s="10" t="n">
        <v>3</v>
      </c>
      <c r="T14" s="17" t="n">
        <f aca="false">ROUND(SUMPRODUCT(L14:S14,{5,15,20,15,15,10,12,8})/5,0)</f>
        <v>65</v>
      </c>
      <c r="U14" s="12" t="s">
        <v>98</v>
      </c>
      <c r="V14" s="18" t="s">
        <v>611</v>
      </c>
    </row>
    <row r="15" customFormat="false" ht="18.75" hidden="false" customHeight="true" outlineLevel="0" collapsed="false">
      <c r="A15" s="9" t="s">
        <v>141</v>
      </c>
      <c r="B15" s="10" t="s">
        <v>121</v>
      </c>
      <c r="C15" s="10" t="s">
        <v>142</v>
      </c>
      <c r="D15" s="10" t="s">
        <v>612</v>
      </c>
      <c r="E15" s="10" t="s">
        <v>613</v>
      </c>
      <c r="F15" s="10" t="s">
        <v>614</v>
      </c>
      <c r="G15" s="10" t="s">
        <v>615</v>
      </c>
      <c r="H15" s="10" t="s">
        <v>458</v>
      </c>
      <c r="I15" s="10" t="s">
        <v>616</v>
      </c>
      <c r="J15" s="10" t="s">
        <v>456</v>
      </c>
      <c r="K15" s="10" t="s">
        <v>456</v>
      </c>
      <c r="L15" s="10" t="n">
        <v>2</v>
      </c>
      <c r="M15" s="10" t="n">
        <v>5</v>
      </c>
      <c r="N15" s="10" t="n">
        <v>4</v>
      </c>
      <c r="O15" s="10" t="n">
        <v>4</v>
      </c>
      <c r="P15" s="10" t="n">
        <v>3</v>
      </c>
      <c r="Q15" s="10" t="n">
        <v>2</v>
      </c>
      <c r="R15" s="10" t="n">
        <v>1</v>
      </c>
      <c r="S15" s="10" t="n">
        <v>2</v>
      </c>
      <c r="T15" s="17" t="n">
        <f aca="false">ROUND(SUMPRODUCT(L15:S15,{5,15,20,15,15,10,12,8})/5,0)</f>
        <v>64</v>
      </c>
      <c r="U15" s="12" t="s">
        <v>98</v>
      </c>
      <c r="V15" s="18" t="s">
        <v>617</v>
      </c>
    </row>
    <row r="16" customFormat="false" ht="15" hidden="false" customHeight="true" outlineLevel="0" collapsed="false">
      <c r="A16" s="9" t="s">
        <v>183</v>
      </c>
      <c r="B16" s="10" t="s">
        <v>121</v>
      </c>
      <c r="C16" s="10" t="s">
        <v>184</v>
      </c>
      <c r="D16" s="10" t="s">
        <v>384</v>
      </c>
      <c r="E16" s="10" t="s">
        <v>618</v>
      </c>
      <c r="F16" s="10" t="s">
        <v>619</v>
      </c>
      <c r="G16" s="10" t="s">
        <v>620</v>
      </c>
      <c r="H16" s="10" t="s">
        <v>458</v>
      </c>
      <c r="I16" s="10" t="s">
        <v>456</v>
      </c>
      <c r="J16" s="10" t="s">
        <v>456</v>
      </c>
      <c r="K16" s="10" t="s">
        <v>456</v>
      </c>
      <c r="L16" s="10" t="n">
        <v>2</v>
      </c>
      <c r="M16" s="10" t="n">
        <v>5</v>
      </c>
      <c r="N16" s="10" t="n">
        <v>3</v>
      </c>
      <c r="O16" s="10" t="n">
        <v>3</v>
      </c>
      <c r="P16" s="10" t="n">
        <v>3</v>
      </c>
      <c r="Q16" s="10" t="n">
        <v>2</v>
      </c>
      <c r="R16" s="10" t="n">
        <v>1</v>
      </c>
      <c r="S16" s="10" t="n">
        <v>3</v>
      </c>
      <c r="T16" s="17" t="n">
        <f aca="false">ROUND(SUMPRODUCT(L16:S16,{5,15,20,15,15,10,12,8})/5,0)</f>
        <v>58</v>
      </c>
      <c r="U16" s="12" t="s">
        <v>98</v>
      </c>
      <c r="V16" s="18" t="s">
        <v>621</v>
      </c>
    </row>
    <row r="17" customFormat="false" ht="15" hidden="false" customHeight="true" outlineLevel="0" collapsed="false">
      <c r="A17" s="9" t="s">
        <v>173</v>
      </c>
      <c r="B17" s="10" t="s">
        <v>121</v>
      </c>
      <c r="C17" s="10" t="s">
        <v>174</v>
      </c>
      <c r="D17" s="10" t="s">
        <v>454</v>
      </c>
      <c r="E17" s="10" t="s">
        <v>622</v>
      </c>
      <c r="F17" s="10" t="s">
        <v>623</v>
      </c>
      <c r="G17" s="10" t="s">
        <v>624</v>
      </c>
      <c r="H17" s="10" t="s">
        <v>598</v>
      </c>
      <c r="I17" s="10" t="s">
        <v>456</v>
      </c>
      <c r="J17" s="10" t="s">
        <v>456</v>
      </c>
      <c r="K17" s="10" t="s">
        <v>456</v>
      </c>
      <c r="L17" s="10" t="n">
        <v>3</v>
      </c>
      <c r="M17" s="10" t="n">
        <v>3</v>
      </c>
      <c r="N17" s="10" t="n">
        <v>4</v>
      </c>
      <c r="O17" s="10" t="n">
        <v>3</v>
      </c>
      <c r="P17" s="10" t="n">
        <v>3</v>
      </c>
      <c r="Q17" s="10" t="n">
        <v>2</v>
      </c>
      <c r="R17" s="10" t="n">
        <v>2</v>
      </c>
      <c r="S17" s="10" t="n">
        <v>3</v>
      </c>
      <c r="T17" s="17" t="n">
        <f aca="false">ROUND(SUMPRODUCT(L17:S17,{5,15,20,15,15,10,12,8})/5,0)</f>
        <v>60</v>
      </c>
      <c r="U17" s="12" t="s">
        <v>98</v>
      </c>
      <c r="V17" s="18" t="s">
        <v>625</v>
      </c>
    </row>
    <row r="18" customFormat="false" ht="18.75" hidden="false" customHeight="true" outlineLevel="0" collapsed="false">
      <c r="A18" s="9" t="s">
        <v>131</v>
      </c>
      <c r="B18" s="10" t="s">
        <v>85</v>
      </c>
      <c r="C18" s="10" t="s">
        <v>132</v>
      </c>
      <c r="D18" s="10" t="s">
        <v>626</v>
      </c>
      <c r="E18" s="10" t="s">
        <v>627</v>
      </c>
      <c r="F18" s="10" t="s">
        <v>628</v>
      </c>
      <c r="G18" s="10" t="s">
        <v>629</v>
      </c>
      <c r="H18" s="10" t="s">
        <v>458</v>
      </c>
      <c r="I18" s="10" t="s">
        <v>456</v>
      </c>
      <c r="J18" s="10" t="s">
        <v>456</v>
      </c>
      <c r="K18" s="10" t="s">
        <v>610</v>
      </c>
      <c r="L18" s="10" t="n">
        <v>2</v>
      </c>
      <c r="M18" s="10" t="n">
        <v>5</v>
      </c>
      <c r="N18" s="10" t="n">
        <v>4</v>
      </c>
      <c r="O18" s="10" t="n">
        <v>4</v>
      </c>
      <c r="P18" s="10" t="n">
        <v>3</v>
      </c>
      <c r="Q18" s="10" t="n">
        <v>2</v>
      </c>
      <c r="R18" s="10" t="n">
        <v>1</v>
      </c>
      <c r="S18" s="10" t="n">
        <v>3</v>
      </c>
      <c r="T18" s="17" t="n">
        <f aca="false">ROUND(SUMPRODUCT(L18:S18,{5,15,20,15,15,10,12,8})/5,0)</f>
        <v>65</v>
      </c>
      <c r="U18" s="12" t="s">
        <v>98</v>
      </c>
      <c r="V18" s="18" t="s">
        <v>630</v>
      </c>
    </row>
    <row r="19" customFormat="false" ht="15" hidden="false" customHeight="true" outlineLevel="0" collapsed="false">
      <c r="A19" s="9" t="s">
        <v>185</v>
      </c>
      <c r="B19" s="10" t="s">
        <v>85</v>
      </c>
      <c r="C19" s="10" t="s">
        <v>186</v>
      </c>
      <c r="D19" s="10" t="s">
        <v>631</v>
      </c>
      <c r="E19" s="10" t="s">
        <v>614</v>
      </c>
      <c r="F19" s="10" t="s">
        <v>614</v>
      </c>
      <c r="G19" s="10" t="s">
        <v>632</v>
      </c>
      <c r="H19" s="10" t="s">
        <v>458</v>
      </c>
      <c r="I19" s="10" t="s">
        <v>456</v>
      </c>
      <c r="J19" s="10" t="s">
        <v>456</v>
      </c>
      <c r="K19" s="10" t="s">
        <v>456</v>
      </c>
      <c r="L19" s="10" t="n">
        <v>2</v>
      </c>
      <c r="M19" s="10" t="n">
        <v>5</v>
      </c>
      <c r="N19" s="10" t="n">
        <v>3</v>
      </c>
      <c r="O19" s="10" t="n">
        <v>3</v>
      </c>
      <c r="P19" s="10" t="n">
        <v>3</v>
      </c>
      <c r="Q19" s="10" t="n">
        <v>2</v>
      </c>
      <c r="R19" s="10" t="n">
        <v>1</v>
      </c>
      <c r="S19" s="10" t="n">
        <v>3</v>
      </c>
      <c r="T19" s="17" t="n">
        <f aca="false">ROUND(SUMPRODUCT(L19:S19,{5,15,20,15,15,10,12,8})/5,0)</f>
        <v>58</v>
      </c>
      <c r="U19" s="12" t="s">
        <v>98</v>
      </c>
      <c r="V19" s="18" t="s">
        <v>621</v>
      </c>
    </row>
    <row r="20" customFormat="false" ht="18.75" hidden="false" customHeight="true" outlineLevel="0" collapsed="false">
      <c r="A20" s="9" t="s">
        <v>204</v>
      </c>
      <c r="B20" s="10" t="s">
        <v>85</v>
      </c>
      <c r="C20" s="10" t="s">
        <v>205</v>
      </c>
      <c r="D20" s="10" t="s">
        <v>633</v>
      </c>
      <c r="E20" s="10" t="s">
        <v>634</v>
      </c>
      <c r="F20" s="10" t="s">
        <v>635</v>
      </c>
      <c r="G20" s="10" t="s">
        <v>636</v>
      </c>
      <c r="H20" s="10" t="s">
        <v>637</v>
      </c>
      <c r="I20" s="10" t="s">
        <v>456</v>
      </c>
      <c r="J20" s="10" t="s">
        <v>456</v>
      </c>
      <c r="K20" s="10" t="s">
        <v>456</v>
      </c>
      <c r="L20" s="10" t="n">
        <v>3</v>
      </c>
      <c r="M20" s="10" t="n">
        <v>4</v>
      </c>
      <c r="N20" s="10" t="n">
        <v>3</v>
      </c>
      <c r="O20" s="10" t="n">
        <v>3</v>
      </c>
      <c r="P20" s="10" t="n">
        <v>2</v>
      </c>
      <c r="Q20" s="10" t="n">
        <v>2</v>
      </c>
      <c r="R20" s="10" t="n">
        <v>2</v>
      </c>
      <c r="S20" s="10" t="n">
        <v>3</v>
      </c>
      <c r="T20" s="17" t="n">
        <f aca="false">ROUND(SUMPRODUCT(L20:S20,{5,15,20,15,15,10,12,8})/5,0)</f>
        <v>56</v>
      </c>
      <c r="U20" s="12" t="s">
        <v>98</v>
      </c>
      <c r="V20" s="18" t="s">
        <v>638</v>
      </c>
    </row>
    <row r="21" customFormat="false" ht="27.75" hidden="false" customHeight="true" outlineLevel="0" collapsed="false">
      <c r="A21" s="9" t="s">
        <v>143</v>
      </c>
      <c r="B21" s="10" t="s">
        <v>61</v>
      </c>
      <c r="C21" s="10" t="s">
        <v>144</v>
      </c>
      <c r="D21" s="10" t="s">
        <v>639</v>
      </c>
      <c r="E21" s="10" t="s">
        <v>640</v>
      </c>
      <c r="F21" s="10" t="s">
        <v>641</v>
      </c>
      <c r="G21" s="10" t="s">
        <v>642</v>
      </c>
      <c r="H21" s="10" t="s">
        <v>643</v>
      </c>
      <c r="I21" s="10" t="s">
        <v>449</v>
      </c>
      <c r="J21" s="10" t="s">
        <v>456</v>
      </c>
      <c r="K21" s="10" t="s">
        <v>644</v>
      </c>
      <c r="L21" s="10" t="n">
        <v>4</v>
      </c>
      <c r="M21" s="10" t="n">
        <v>4</v>
      </c>
      <c r="N21" s="10" t="n">
        <v>4</v>
      </c>
      <c r="O21" s="10" t="n">
        <v>4</v>
      </c>
      <c r="P21" s="10" t="n">
        <v>3</v>
      </c>
      <c r="Q21" s="10" t="n">
        <v>2</v>
      </c>
      <c r="R21" s="10" t="n">
        <v>1</v>
      </c>
      <c r="S21" s="10" t="n">
        <v>3</v>
      </c>
      <c r="T21" s="17" t="n">
        <f aca="false">ROUND(SUMPRODUCT(L21:S21,{5,15,20,15,15,10,12,8})/5,0)</f>
        <v>64</v>
      </c>
      <c r="U21" s="12" t="s">
        <v>98</v>
      </c>
      <c r="V21" s="18" t="s">
        <v>645</v>
      </c>
    </row>
    <row r="22" customFormat="false" ht="18.75" hidden="false" customHeight="true" outlineLevel="0" collapsed="false">
      <c r="A22" s="9" t="s">
        <v>125</v>
      </c>
      <c r="B22" s="10" t="s">
        <v>54</v>
      </c>
      <c r="C22" s="10" t="s">
        <v>126</v>
      </c>
      <c r="D22" s="10" t="s">
        <v>646</v>
      </c>
      <c r="E22" s="10" t="s">
        <v>647</v>
      </c>
      <c r="F22" s="10" t="s">
        <v>648</v>
      </c>
      <c r="G22" s="10" t="s">
        <v>649</v>
      </c>
      <c r="H22" s="10" t="s">
        <v>650</v>
      </c>
      <c r="I22" s="10" t="s">
        <v>456</v>
      </c>
      <c r="J22" s="10" t="s">
        <v>456</v>
      </c>
      <c r="K22" s="10" t="s">
        <v>456</v>
      </c>
      <c r="L22" s="10" t="n">
        <v>4</v>
      </c>
      <c r="M22" s="10" t="n">
        <v>4</v>
      </c>
      <c r="N22" s="10" t="n">
        <v>4</v>
      </c>
      <c r="O22" s="10" t="n">
        <v>4</v>
      </c>
      <c r="P22" s="10" t="n">
        <v>3</v>
      </c>
      <c r="Q22" s="10" t="n">
        <v>3</v>
      </c>
      <c r="R22" s="10" t="n">
        <v>1</v>
      </c>
      <c r="S22" s="10" t="n">
        <v>3</v>
      </c>
      <c r="T22" s="17" t="n">
        <f aca="false">ROUND(SUMPRODUCT(L22:S22,{5,15,20,15,15,10,12,8})/5,0)</f>
        <v>66</v>
      </c>
      <c r="U22" s="12" t="s">
        <v>98</v>
      </c>
      <c r="V22" s="18" t="s">
        <v>651</v>
      </c>
    </row>
    <row r="23" customFormat="false" ht="18.75" hidden="false" customHeight="true" outlineLevel="0" collapsed="false">
      <c r="A23" s="9" t="s">
        <v>187</v>
      </c>
      <c r="B23" s="10" t="s">
        <v>61</v>
      </c>
      <c r="C23" s="10" t="s">
        <v>188</v>
      </c>
      <c r="D23" s="10" t="s">
        <v>652</v>
      </c>
      <c r="E23" s="10" t="s">
        <v>653</v>
      </c>
      <c r="F23" s="10" t="s">
        <v>456</v>
      </c>
      <c r="G23" s="10" t="s">
        <v>654</v>
      </c>
      <c r="H23" s="10" t="s">
        <v>458</v>
      </c>
      <c r="I23" s="10" t="s">
        <v>456</v>
      </c>
      <c r="J23" s="10" t="s">
        <v>456</v>
      </c>
      <c r="K23" s="10" t="s">
        <v>456</v>
      </c>
      <c r="L23" s="10" t="n">
        <v>4</v>
      </c>
      <c r="M23" s="10" t="n">
        <v>3</v>
      </c>
      <c r="N23" s="10" t="n">
        <v>4</v>
      </c>
      <c r="O23" s="10" t="n">
        <v>3</v>
      </c>
      <c r="P23" s="10" t="n">
        <v>3</v>
      </c>
      <c r="Q23" s="10" t="n">
        <v>2</v>
      </c>
      <c r="R23" s="10" t="n">
        <v>1</v>
      </c>
      <c r="S23" s="10" t="n">
        <v>3</v>
      </c>
      <c r="T23" s="17" t="n">
        <f aca="false">ROUND(SUMPRODUCT(L23:S23,{5,15,20,15,15,10,12,8})/5,0)</f>
        <v>58</v>
      </c>
      <c r="U23" s="12" t="s">
        <v>98</v>
      </c>
      <c r="V23" s="18" t="s">
        <v>655</v>
      </c>
    </row>
    <row r="24" customFormat="false" ht="18.75" hidden="false" customHeight="true" outlineLevel="0" collapsed="false">
      <c r="A24" s="9" t="s">
        <v>189</v>
      </c>
      <c r="B24" s="10" t="s">
        <v>190</v>
      </c>
      <c r="C24" s="10" t="s">
        <v>191</v>
      </c>
      <c r="D24" s="10" t="s">
        <v>375</v>
      </c>
      <c r="E24" s="10" t="s">
        <v>656</v>
      </c>
      <c r="F24" s="10" t="s">
        <v>456</v>
      </c>
      <c r="G24" s="10" t="s">
        <v>657</v>
      </c>
      <c r="H24" s="10" t="s">
        <v>658</v>
      </c>
      <c r="I24" s="10" t="s">
        <v>456</v>
      </c>
      <c r="J24" s="10" t="s">
        <v>456</v>
      </c>
      <c r="K24" s="10" t="s">
        <v>456</v>
      </c>
      <c r="L24" s="10" t="n">
        <v>3</v>
      </c>
      <c r="M24" s="10" t="n">
        <v>3</v>
      </c>
      <c r="N24" s="10" t="n">
        <v>4</v>
      </c>
      <c r="O24" s="10" t="n">
        <v>3</v>
      </c>
      <c r="P24" s="10" t="n">
        <v>3</v>
      </c>
      <c r="Q24" s="10" t="n">
        <v>2</v>
      </c>
      <c r="R24" s="10" t="n">
        <v>2</v>
      </c>
      <c r="S24" s="10" t="n">
        <v>2</v>
      </c>
      <c r="T24" s="17" t="n">
        <f aca="false">ROUND(SUMPRODUCT(L24:S24,{5,15,20,15,15,10,12,8})/5,0)</f>
        <v>58</v>
      </c>
      <c r="U24" s="12" t="s">
        <v>98</v>
      </c>
      <c r="V24" s="18" t="s">
        <v>659</v>
      </c>
    </row>
    <row r="25" customFormat="false" ht="18.75" hidden="false" customHeight="true" outlineLevel="0" collapsed="false">
      <c r="A25" s="9" t="s">
        <v>147</v>
      </c>
      <c r="B25" s="10" t="s">
        <v>51</v>
      </c>
      <c r="C25" s="10" t="s">
        <v>148</v>
      </c>
      <c r="D25" s="10" t="s">
        <v>456</v>
      </c>
      <c r="E25" s="10" t="s">
        <v>456</v>
      </c>
      <c r="F25" s="10" t="s">
        <v>456</v>
      </c>
      <c r="G25" s="10" t="s">
        <v>660</v>
      </c>
      <c r="H25" s="10" t="s">
        <v>456</v>
      </c>
      <c r="I25" s="10" t="s">
        <v>661</v>
      </c>
      <c r="J25" s="10" t="s">
        <v>456</v>
      </c>
      <c r="K25" s="10" t="s">
        <v>456</v>
      </c>
      <c r="L25" s="10" t="n">
        <v>2</v>
      </c>
      <c r="M25" s="10" t="n">
        <v>3</v>
      </c>
      <c r="N25" s="10" t="n">
        <v>4</v>
      </c>
      <c r="O25" s="10" t="n">
        <v>4</v>
      </c>
      <c r="P25" s="10" t="n">
        <v>4</v>
      </c>
      <c r="Q25" s="10" t="n">
        <v>2</v>
      </c>
      <c r="R25" s="10" t="n">
        <v>2</v>
      </c>
      <c r="S25" s="10" t="n">
        <v>2</v>
      </c>
      <c r="T25" s="17" t="n">
        <f aca="false">ROUND(SUMPRODUCT(L25:S25,{5,15,20,15,15,10,12,8})/5,0)</f>
        <v>63</v>
      </c>
      <c r="U25" s="12" t="s">
        <v>98</v>
      </c>
      <c r="V25" s="18" t="s">
        <v>662</v>
      </c>
    </row>
    <row r="26" customFormat="false" ht="18.75" hidden="false" customHeight="true" outlineLevel="0" collapsed="false">
      <c r="A26" s="9" t="s">
        <v>107</v>
      </c>
      <c r="B26" s="10" t="s">
        <v>51</v>
      </c>
      <c r="C26" s="10" t="s">
        <v>108</v>
      </c>
      <c r="D26" s="10" t="s">
        <v>456</v>
      </c>
      <c r="E26" s="10" t="s">
        <v>456</v>
      </c>
      <c r="F26" s="10" t="s">
        <v>456</v>
      </c>
      <c r="G26" s="10" t="s">
        <v>663</v>
      </c>
      <c r="H26" s="10" t="s">
        <v>456</v>
      </c>
      <c r="I26" s="10" t="s">
        <v>456</v>
      </c>
      <c r="J26" s="10" t="s">
        <v>456</v>
      </c>
      <c r="K26" s="10" t="s">
        <v>456</v>
      </c>
      <c r="L26" s="10" t="n">
        <v>2</v>
      </c>
      <c r="M26" s="10" t="n">
        <v>3</v>
      </c>
      <c r="N26" s="10" t="n">
        <v>5</v>
      </c>
      <c r="O26" s="10" t="n">
        <v>5</v>
      </c>
      <c r="P26" s="10" t="n">
        <v>3</v>
      </c>
      <c r="Q26" s="10" t="n">
        <v>2</v>
      </c>
      <c r="R26" s="10" t="n">
        <v>1</v>
      </c>
      <c r="S26" s="10" t="n">
        <v>4</v>
      </c>
      <c r="T26" s="17" t="n">
        <f aca="false">ROUND(SUMPRODUCT(L26:S26,{5,15,20,15,15,10,12,8})/5,0)</f>
        <v>68</v>
      </c>
      <c r="U26" s="13" t="s">
        <v>109</v>
      </c>
      <c r="V26" s="18" t="s">
        <v>664</v>
      </c>
    </row>
    <row r="27" customFormat="false" ht="18.75" hidden="false" customHeight="true" outlineLevel="0" collapsed="false">
      <c r="A27" s="9" t="s">
        <v>181</v>
      </c>
      <c r="B27" s="10" t="s">
        <v>51</v>
      </c>
      <c r="C27" s="10" t="s">
        <v>182</v>
      </c>
      <c r="D27" s="10" t="s">
        <v>456</v>
      </c>
      <c r="E27" s="10" t="s">
        <v>456</v>
      </c>
      <c r="F27" s="10" t="s">
        <v>456</v>
      </c>
      <c r="G27" s="10" t="s">
        <v>665</v>
      </c>
      <c r="H27" s="10" t="s">
        <v>456</v>
      </c>
      <c r="I27" s="10" t="s">
        <v>456</v>
      </c>
      <c r="J27" s="10" t="s">
        <v>456</v>
      </c>
      <c r="K27" s="10" t="s">
        <v>456</v>
      </c>
      <c r="L27" s="10" t="n">
        <v>2</v>
      </c>
      <c r="M27" s="10" t="n">
        <v>3</v>
      </c>
      <c r="N27" s="10" t="n">
        <v>4</v>
      </c>
      <c r="O27" s="10" t="n">
        <v>3</v>
      </c>
      <c r="P27" s="10" t="n">
        <v>3</v>
      </c>
      <c r="Q27" s="10" t="n">
        <v>2</v>
      </c>
      <c r="R27" s="10" t="n">
        <v>2</v>
      </c>
      <c r="S27" s="10" t="n">
        <v>3</v>
      </c>
      <c r="T27" s="17" t="n">
        <f aca="false">ROUND(SUMPRODUCT(L27:S27,{5,15,20,15,15,10,12,8})/5,0)</f>
        <v>59</v>
      </c>
      <c r="U27" s="12" t="s">
        <v>98</v>
      </c>
      <c r="V27" s="18" t="s">
        <v>666</v>
      </c>
    </row>
    <row r="28" customFormat="false" ht="18.75" hidden="false" customHeight="true" outlineLevel="0" collapsed="false">
      <c r="A28" s="9" t="s">
        <v>206</v>
      </c>
      <c r="B28" s="10" t="s">
        <v>51</v>
      </c>
      <c r="C28" s="10" t="s">
        <v>207</v>
      </c>
      <c r="D28" s="10" t="s">
        <v>456</v>
      </c>
      <c r="E28" s="10" t="s">
        <v>456</v>
      </c>
      <c r="F28" s="10" t="s">
        <v>456</v>
      </c>
      <c r="G28" s="10" t="s">
        <v>667</v>
      </c>
      <c r="H28" s="10" t="s">
        <v>456</v>
      </c>
      <c r="I28" s="10" t="s">
        <v>456</v>
      </c>
      <c r="J28" s="10" t="s">
        <v>456</v>
      </c>
      <c r="K28" s="10" t="s">
        <v>456</v>
      </c>
      <c r="L28" s="10" t="n">
        <v>2</v>
      </c>
      <c r="M28" s="10" t="n">
        <v>3</v>
      </c>
      <c r="N28" s="10" t="n">
        <v>5</v>
      </c>
      <c r="O28" s="10" t="n">
        <v>2</v>
      </c>
      <c r="P28" s="10" t="n">
        <v>2</v>
      </c>
      <c r="Q28" s="10" t="n">
        <v>2</v>
      </c>
      <c r="R28" s="10" t="n">
        <v>1</v>
      </c>
      <c r="S28" s="10" t="n">
        <v>4</v>
      </c>
      <c r="T28" s="17" t="n">
        <f aca="false">ROUND(SUMPRODUCT(L28:S28,{5,15,20,15,15,10,12,8})/5,0)</f>
        <v>56</v>
      </c>
      <c r="U28" s="12" t="s">
        <v>98</v>
      </c>
      <c r="V28" s="18" t="s">
        <v>668</v>
      </c>
    </row>
    <row r="29" customFormat="false" ht="15" hidden="false" customHeight="true" outlineLevel="0" collapsed="false">
      <c r="A29" s="9" t="s">
        <v>162</v>
      </c>
      <c r="B29" s="10" t="s">
        <v>91</v>
      </c>
      <c r="C29" s="10" t="s">
        <v>163</v>
      </c>
      <c r="D29" s="10" t="s">
        <v>456</v>
      </c>
      <c r="E29" s="10" t="s">
        <v>456</v>
      </c>
      <c r="F29" s="10" t="s">
        <v>456</v>
      </c>
      <c r="G29" s="10" t="s">
        <v>669</v>
      </c>
      <c r="H29" s="10" t="s">
        <v>456</v>
      </c>
      <c r="I29" s="10" t="s">
        <v>456</v>
      </c>
      <c r="J29" s="10" t="s">
        <v>456</v>
      </c>
      <c r="K29" s="10" t="s">
        <v>456</v>
      </c>
      <c r="L29" s="10" t="n">
        <v>2</v>
      </c>
      <c r="M29" s="10" t="n">
        <v>4</v>
      </c>
      <c r="N29" s="10" t="n">
        <v>4</v>
      </c>
      <c r="O29" s="10" t="n">
        <v>4</v>
      </c>
      <c r="P29" s="10" t="n">
        <v>3</v>
      </c>
      <c r="Q29" s="10" t="n">
        <v>2</v>
      </c>
      <c r="R29" s="10" t="n">
        <v>1</v>
      </c>
      <c r="S29" s="10" t="n">
        <v>3</v>
      </c>
      <c r="T29" s="17" t="n">
        <f aca="false">ROUND(SUMPRODUCT(L29:S29,{5,15,20,15,15,10,12,8})/5,0)</f>
        <v>62</v>
      </c>
      <c r="U29" s="12" t="s">
        <v>98</v>
      </c>
      <c r="V29" s="18" t="s">
        <v>670</v>
      </c>
    </row>
    <row r="30" customFormat="false" ht="18.75" hidden="false" customHeight="true" outlineLevel="0" collapsed="false">
      <c r="A30" s="9" t="s">
        <v>175</v>
      </c>
      <c r="B30" s="10" t="s">
        <v>91</v>
      </c>
      <c r="C30" s="10" t="s">
        <v>176</v>
      </c>
      <c r="D30" s="10" t="s">
        <v>456</v>
      </c>
      <c r="E30" s="10" t="s">
        <v>456</v>
      </c>
      <c r="F30" s="10" t="s">
        <v>456</v>
      </c>
      <c r="G30" s="10" t="s">
        <v>456</v>
      </c>
      <c r="H30" s="10" t="s">
        <v>456</v>
      </c>
      <c r="I30" s="10" t="s">
        <v>456</v>
      </c>
      <c r="J30" s="10" t="s">
        <v>456</v>
      </c>
      <c r="K30" s="10" t="s">
        <v>456</v>
      </c>
      <c r="L30" s="10" t="n">
        <v>2</v>
      </c>
      <c r="M30" s="10" t="n">
        <v>4</v>
      </c>
      <c r="N30" s="10" t="n">
        <v>4</v>
      </c>
      <c r="O30" s="10" t="n">
        <v>3</v>
      </c>
      <c r="P30" s="10" t="n">
        <v>3</v>
      </c>
      <c r="Q30" s="10" t="n">
        <v>2</v>
      </c>
      <c r="R30" s="10" t="n">
        <v>2</v>
      </c>
      <c r="S30" s="10" t="n">
        <v>2</v>
      </c>
      <c r="T30" s="17" t="n">
        <f aca="false">ROUND(SUMPRODUCT(L30:S30,{5,15,20,15,15,10,12,8})/5,0)</f>
        <v>60</v>
      </c>
      <c r="U30" s="12" t="s">
        <v>98</v>
      </c>
      <c r="V30" s="18" t="s">
        <v>463</v>
      </c>
    </row>
    <row r="31" customFormat="false" ht="15" hidden="false" customHeight="true" outlineLevel="0" collapsed="false">
      <c r="A31" s="9" t="s">
        <v>192</v>
      </c>
      <c r="B31" s="10" t="s">
        <v>91</v>
      </c>
      <c r="C31" s="10" t="s">
        <v>193</v>
      </c>
      <c r="D31" s="10" t="s">
        <v>456</v>
      </c>
      <c r="E31" s="10" t="s">
        <v>456</v>
      </c>
      <c r="F31" s="10" t="s">
        <v>456</v>
      </c>
      <c r="G31" s="10" t="s">
        <v>671</v>
      </c>
      <c r="H31" s="10" t="s">
        <v>456</v>
      </c>
      <c r="I31" s="10" t="s">
        <v>456</v>
      </c>
      <c r="J31" s="10" t="s">
        <v>456</v>
      </c>
      <c r="K31" s="10" t="s">
        <v>456</v>
      </c>
      <c r="L31" s="10" t="n">
        <v>2</v>
      </c>
      <c r="M31" s="10" t="n">
        <v>3</v>
      </c>
      <c r="N31" s="10" t="n">
        <v>4</v>
      </c>
      <c r="O31" s="10" t="n">
        <v>3</v>
      </c>
      <c r="P31" s="10" t="n">
        <v>3</v>
      </c>
      <c r="Q31" s="10" t="n">
        <v>2</v>
      </c>
      <c r="R31" s="10" t="n">
        <v>2</v>
      </c>
      <c r="S31" s="10" t="n">
        <v>2</v>
      </c>
      <c r="T31" s="17" t="n">
        <f aca="false">ROUND(SUMPRODUCT(L31:S31,{5,15,20,15,15,10,12,8})/5,0)</f>
        <v>57</v>
      </c>
      <c r="U31" s="12" t="s">
        <v>98</v>
      </c>
      <c r="V31" s="18" t="s">
        <v>672</v>
      </c>
    </row>
    <row r="32" customFormat="false" ht="15" hidden="false" customHeight="true" outlineLevel="0" collapsed="false">
      <c r="A32" s="9" t="s">
        <v>208</v>
      </c>
      <c r="B32" s="10" t="s">
        <v>91</v>
      </c>
      <c r="C32" s="10" t="s">
        <v>209</v>
      </c>
      <c r="D32" s="10" t="s">
        <v>456</v>
      </c>
      <c r="E32" s="10" t="s">
        <v>456</v>
      </c>
      <c r="F32" s="10" t="s">
        <v>456</v>
      </c>
      <c r="G32" s="10" t="s">
        <v>673</v>
      </c>
      <c r="H32" s="10" t="s">
        <v>456</v>
      </c>
      <c r="I32" s="10" t="s">
        <v>456</v>
      </c>
      <c r="J32" s="10" t="s">
        <v>456</v>
      </c>
      <c r="K32" s="10" t="s">
        <v>456</v>
      </c>
      <c r="L32" s="10" t="n">
        <v>2</v>
      </c>
      <c r="M32" s="10" t="n">
        <v>3</v>
      </c>
      <c r="N32" s="10" t="n">
        <v>4</v>
      </c>
      <c r="O32" s="10" t="n">
        <v>3</v>
      </c>
      <c r="P32" s="10" t="n">
        <v>3</v>
      </c>
      <c r="Q32" s="10" t="n">
        <v>2</v>
      </c>
      <c r="R32" s="10" t="n">
        <v>1</v>
      </c>
      <c r="S32" s="10" t="n">
        <v>3</v>
      </c>
      <c r="T32" s="17" t="n">
        <f aca="false">ROUND(SUMPRODUCT(L32:S32,{5,15,20,15,15,10,12,8})/5,0)</f>
        <v>56</v>
      </c>
      <c r="U32" s="12" t="s">
        <v>98</v>
      </c>
      <c r="V32" s="18" t="s">
        <v>674</v>
      </c>
    </row>
    <row r="33" customFormat="false" ht="15" hidden="false" customHeight="true" outlineLevel="0" collapsed="false">
      <c r="A33" s="9" t="s">
        <v>149</v>
      </c>
      <c r="B33" s="10" t="s">
        <v>64</v>
      </c>
      <c r="C33" s="10" t="s">
        <v>150</v>
      </c>
      <c r="D33" s="10" t="s">
        <v>456</v>
      </c>
      <c r="E33" s="10" t="s">
        <v>456</v>
      </c>
      <c r="F33" s="10" t="s">
        <v>456</v>
      </c>
      <c r="G33" s="10" t="s">
        <v>675</v>
      </c>
      <c r="H33" s="10" t="s">
        <v>456</v>
      </c>
      <c r="I33" s="10" t="s">
        <v>456</v>
      </c>
      <c r="J33" s="10" t="s">
        <v>456</v>
      </c>
      <c r="K33" s="10" t="s">
        <v>456</v>
      </c>
      <c r="L33" s="10" t="n">
        <v>2</v>
      </c>
      <c r="M33" s="10" t="n">
        <v>3</v>
      </c>
      <c r="N33" s="10" t="n">
        <v>4</v>
      </c>
      <c r="O33" s="10" t="n">
        <v>4</v>
      </c>
      <c r="P33" s="10" t="n">
        <v>4</v>
      </c>
      <c r="Q33" s="10" t="n">
        <v>3</v>
      </c>
      <c r="R33" s="10" t="n">
        <v>1</v>
      </c>
      <c r="S33" s="10" t="n">
        <v>2</v>
      </c>
      <c r="T33" s="17" t="n">
        <f aca="false">ROUND(SUMPRODUCT(L33:S33,{5,15,20,15,15,10,12,8})/5,0)</f>
        <v>63</v>
      </c>
      <c r="U33" s="12" t="s">
        <v>98</v>
      </c>
      <c r="V33" s="18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9"/>
    <col collapsed="false" customWidth="true" hidden="false" outlineLevel="0" max="2" min="2" style="15" width="11"/>
    <col collapsed="false" customWidth="true" hidden="false" outlineLevel="0" max="3" min="3" style="15" width="9"/>
    <col collapsed="false" customWidth="true" hidden="false" outlineLevel="0" max="4" min="4" style="15" width="22"/>
    <col collapsed="false" customWidth="true" hidden="false" outlineLevel="0" max="5" min="5" style="15" width="34"/>
    <col collapsed="false" customWidth="true" hidden="false" outlineLevel="0" max="6" min="6" style="15" width="62"/>
    <col collapsed="false" customWidth="true" hidden="false" outlineLevel="0" max="7" min="7" style="15" width="44"/>
    <col collapsed="false" customWidth="true" hidden="false" outlineLevel="0" max="8" min="8" style="15" width="8"/>
  </cols>
  <sheetData>
    <row r="1" customFormat="false" ht="17.25" hidden="false" customHeight="true" outlineLevel="0" collapsed="false">
      <c r="A1" s="20" t="s">
        <v>676</v>
      </c>
      <c r="B1" s="20"/>
      <c r="C1" s="20"/>
      <c r="D1" s="20"/>
      <c r="E1" s="20"/>
      <c r="F1" s="20"/>
      <c r="G1" s="20"/>
      <c r="H1" s="20"/>
    </row>
    <row r="2" customFormat="false" ht="15" hidden="false" customHeight="true" outlineLevel="0" collapsed="false">
      <c r="A2" s="21" t="s">
        <v>677</v>
      </c>
      <c r="B2" s="21"/>
      <c r="C2" s="21"/>
      <c r="D2" s="21"/>
      <c r="E2" s="21"/>
      <c r="F2" s="21"/>
      <c r="G2" s="21"/>
      <c r="H2" s="21"/>
    </row>
    <row r="4" customFormat="false" ht="30" hidden="false" customHeight="true" outlineLevel="0" collapsed="false">
      <c r="A4" s="22" t="s">
        <v>2</v>
      </c>
      <c r="B4" s="22" t="s">
        <v>678</v>
      </c>
      <c r="C4" s="22" t="s">
        <v>679</v>
      </c>
      <c r="D4" s="22" t="s">
        <v>680</v>
      </c>
      <c r="E4" s="22" t="s">
        <v>681</v>
      </c>
      <c r="F4" s="22" t="s">
        <v>682</v>
      </c>
      <c r="G4" s="22" t="s">
        <v>683</v>
      </c>
      <c r="H4" s="22" t="s">
        <v>684</v>
      </c>
    </row>
    <row r="5" customFormat="false" ht="15" hidden="false" customHeight="true" outlineLevel="0" collapsed="false">
      <c r="A5" s="23" t="s">
        <v>166</v>
      </c>
      <c r="B5" s="23" t="s">
        <v>685</v>
      </c>
      <c r="C5" s="23" t="s">
        <v>8</v>
      </c>
      <c r="D5" s="23" t="s">
        <v>121</v>
      </c>
      <c r="E5" s="23" t="s">
        <v>686</v>
      </c>
      <c r="F5" s="23" t="s">
        <v>687</v>
      </c>
      <c r="G5" s="23" t="s">
        <v>688</v>
      </c>
      <c r="H5" s="23" t="s">
        <v>689</v>
      </c>
    </row>
    <row r="6" customFormat="false" ht="15" hidden="false" customHeight="true" outlineLevel="0" collapsed="false">
      <c r="A6" s="24" t="s">
        <v>145</v>
      </c>
      <c r="B6" s="24" t="s">
        <v>685</v>
      </c>
      <c r="C6" s="24" t="s">
        <v>8</v>
      </c>
      <c r="D6" s="24" t="s">
        <v>121</v>
      </c>
      <c r="E6" s="24" t="s">
        <v>690</v>
      </c>
      <c r="F6" s="24" t="s">
        <v>691</v>
      </c>
      <c r="G6" s="24" t="s">
        <v>692</v>
      </c>
      <c r="H6" s="24" t="s">
        <v>689</v>
      </c>
    </row>
    <row r="7" customFormat="false" ht="15" hidden="false" customHeight="true" outlineLevel="0" collapsed="false">
      <c r="A7" s="23" t="s">
        <v>168</v>
      </c>
      <c r="B7" s="23" t="s">
        <v>685</v>
      </c>
      <c r="C7" s="23" t="s">
        <v>8</v>
      </c>
      <c r="D7" s="23" t="s">
        <v>121</v>
      </c>
      <c r="E7" s="23" t="s">
        <v>693</v>
      </c>
      <c r="F7" s="23" t="s">
        <v>694</v>
      </c>
      <c r="G7" s="23" t="s">
        <v>695</v>
      </c>
      <c r="H7" s="23" t="s">
        <v>689</v>
      </c>
    </row>
    <row r="8" customFormat="false" ht="15" hidden="false" customHeight="true" outlineLevel="0" collapsed="false">
      <c r="A8" s="24" t="s">
        <v>194</v>
      </c>
      <c r="B8" s="24" t="s">
        <v>685</v>
      </c>
      <c r="C8" s="24" t="s">
        <v>8</v>
      </c>
      <c r="D8" s="24" t="s">
        <v>121</v>
      </c>
      <c r="E8" s="24" t="s">
        <v>696</v>
      </c>
      <c r="F8" s="24" t="s">
        <v>697</v>
      </c>
      <c r="G8" s="24" t="s">
        <v>698</v>
      </c>
      <c r="H8" s="24" t="s">
        <v>689</v>
      </c>
    </row>
    <row r="9" customFormat="false" ht="15" hidden="false" customHeight="true" outlineLevel="0" collapsed="false">
      <c r="A9" s="23" t="s">
        <v>179</v>
      </c>
      <c r="B9" s="23" t="s">
        <v>685</v>
      </c>
      <c r="C9" s="23" t="s">
        <v>8</v>
      </c>
      <c r="D9" s="23" t="s">
        <v>121</v>
      </c>
      <c r="E9" s="23" t="s">
        <v>699</v>
      </c>
      <c r="F9" s="23" t="s">
        <v>700</v>
      </c>
      <c r="G9" s="23" t="s">
        <v>701</v>
      </c>
      <c r="H9" s="23" t="s">
        <v>689</v>
      </c>
    </row>
    <row r="10" customFormat="false" ht="15" hidden="false" customHeight="true" outlineLevel="0" collapsed="false">
      <c r="A10" s="24" t="s">
        <v>210</v>
      </c>
      <c r="B10" s="24" t="s">
        <v>685</v>
      </c>
      <c r="C10" s="24" t="s">
        <v>8</v>
      </c>
      <c r="D10" s="24" t="s">
        <v>121</v>
      </c>
      <c r="E10" s="24" t="s">
        <v>702</v>
      </c>
      <c r="F10" s="24" t="s">
        <v>703</v>
      </c>
      <c r="G10" s="24" t="s">
        <v>704</v>
      </c>
      <c r="H10" s="24" t="s">
        <v>689</v>
      </c>
    </row>
    <row r="11" customFormat="false" ht="15" hidden="false" customHeight="true" outlineLevel="0" collapsed="false">
      <c r="A11" s="23" t="s">
        <v>24</v>
      </c>
      <c r="B11" s="23" t="s">
        <v>685</v>
      </c>
      <c r="C11" s="23" t="s">
        <v>8</v>
      </c>
      <c r="D11" s="23" t="s">
        <v>64</v>
      </c>
      <c r="E11" s="23" t="s">
        <v>705</v>
      </c>
      <c r="F11" s="23" t="s">
        <v>706</v>
      </c>
      <c r="G11" s="23" t="s">
        <v>707</v>
      </c>
      <c r="H11" s="23" t="s">
        <v>689</v>
      </c>
    </row>
    <row r="12" customFormat="false" ht="15" hidden="false" customHeight="true" outlineLevel="0" collapsed="false">
      <c r="A12" s="24" t="s">
        <v>154</v>
      </c>
      <c r="B12" s="24" t="s">
        <v>685</v>
      </c>
      <c r="C12" s="24" t="s">
        <v>8</v>
      </c>
      <c r="D12" s="24" t="s">
        <v>64</v>
      </c>
      <c r="E12" s="24" t="s">
        <v>708</v>
      </c>
      <c r="F12" s="24" t="s">
        <v>709</v>
      </c>
      <c r="G12" s="24" t="s">
        <v>710</v>
      </c>
      <c r="H12" s="24" t="s">
        <v>689</v>
      </c>
    </row>
    <row r="13" customFormat="false" ht="15" hidden="false" customHeight="true" outlineLevel="0" collapsed="false">
      <c r="A13" s="23" t="s">
        <v>177</v>
      </c>
      <c r="B13" s="23" t="s">
        <v>685</v>
      </c>
      <c r="C13" s="23" t="s">
        <v>8</v>
      </c>
      <c r="D13" s="23" t="s">
        <v>64</v>
      </c>
      <c r="E13" s="23" t="s">
        <v>711</v>
      </c>
      <c r="F13" s="23" t="s">
        <v>712</v>
      </c>
      <c r="G13" s="23" t="s">
        <v>713</v>
      </c>
      <c r="H13" s="23" t="s">
        <v>689</v>
      </c>
    </row>
    <row r="14" customFormat="false" ht="15" hidden="false" customHeight="true" outlineLevel="0" collapsed="false">
      <c r="A14" s="24" t="s">
        <v>133</v>
      </c>
      <c r="B14" s="24" t="s">
        <v>685</v>
      </c>
      <c r="C14" s="24" t="s">
        <v>8</v>
      </c>
      <c r="D14" s="24" t="s">
        <v>64</v>
      </c>
      <c r="E14" s="24" t="s">
        <v>714</v>
      </c>
      <c r="F14" s="24" t="s">
        <v>715</v>
      </c>
      <c r="G14" s="24" t="s">
        <v>716</v>
      </c>
      <c r="H14" s="24" t="s">
        <v>689</v>
      </c>
    </row>
    <row r="15" customFormat="false" ht="15" hidden="false" customHeight="true" outlineLevel="0" collapsed="false">
      <c r="A15" s="23" t="s">
        <v>136</v>
      </c>
      <c r="B15" s="23" t="s">
        <v>685</v>
      </c>
      <c r="C15" s="23" t="s">
        <v>8</v>
      </c>
      <c r="D15" s="23" t="s">
        <v>64</v>
      </c>
      <c r="E15" s="23" t="s">
        <v>717</v>
      </c>
      <c r="F15" s="23" t="s">
        <v>718</v>
      </c>
      <c r="G15" s="23" t="s">
        <v>719</v>
      </c>
      <c r="H15" s="23" t="s">
        <v>689</v>
      </c>
    </row>
    <row r="16" customFormat="false" ht="15" hidden="false" customHeight="true" outlineLevel="0" collapsed="false">
      <c r="A16" s="24" t="s">
        <v>96</v>
      </c>
      <c r="B16" s="24" t="s">
        <v>685</v>
      </c>
      <c r="C16" s="24" t="s">
        <v>8</v>
      </c>
      <c r="D16" s="24" t="s">
        <v>85</v>
      </c>
      <c r="E16" s="24" t="s">
        <v>720</v>
      </c>
      <c r="F16" s="24" t="s">
        <v>721</v>
      </c>
      <c r="G16" s="24" t="s">
        <v>722</v>
      </c>
      <c r="H16" s="24" t="s">
        <v>689</v>
      </c>
    </row>
    <row r="17" customFormat="false" ht="15" hidden="false" customHeight="true" outlineLevel="0" collapsed="false">
      <c r="A17" s="23" t="s">
        <v>87</v>
      </c>
      <c r="B17" s="23" t="s">
        <v>685</v>
      </c>
      <c r="C17" s="23" t="s">
        <v>8</v>
      </c>
      <c r="D17" s="23" t="s">
        <v>85</v>
      </c>
      <c r="E17" s="23" t="s">
        <v>723</v>
      </c>
      <c r="F17" s="23" t="s">
        <v>724</v>
      </c>
      <c r="G17" s="23" t="s">
        <v>725</v>
      </c>
      <c r="H17" s="23" t="s">
        <v>689</v>
      </c>
    </row>
    <row r="18" customFormat="false" ht="15" hidden="false" customHeight="true" outlineLevel="0" collapsed="false">
      <c r="A18" s="24" t="s">
        <v>99</v>
      </c>
      <c r="B18" s="24" t="s">
        <v>685</v>
      </c>
      <c r="C18" s="24" t="s">
        <v>8</v>
      </c>
      <c r="D18" s="24" t="s">
        <v>85</v>
      </c>
      <c r="E18" s="24" t="s">
        <v>726</v>
      </c>
      <c r="F18" s="24" t="s">
        <v>727</v>
      </c>
      <c r="G18" s="24" t="s">
        <v>728</v>
      </c>
      <c r="H18" s="24" t="s">
        <v>689</v>
      </c>
    </row>
    <row r="19" customFormat="false" ht="15" hidden="false" customHeight="true" outlineLevel="0" collapsed="false">
      <c r="A19" s="23" t="s">
        <v>171</v>
      </c>
      <c r="B19" s="23" t="s">
        <v>685</v>
      </c>
      <c r="C19" s="23" t="s">
        <v>8</v>
      </c>
      <c r="D19" s="23" t="s">
        <v>85</v>
      </c>
      <c r="E19" s="23" t="s">
        <v>729</v>
      </c>
      <c r="F19" s="23" t="s">
        <v>730</v>
      </c>
      <c r="G19" s="23" t="s">
        <v>731</v>
      </c>
      <c r="H19" s="23" t="s">
        <v>689</v>
      </c>
    </row>
    <row r="20" customFormat="false" ht="15" hidden="false" customHeight="true" outlineLevel="0" collapsed="false">
      <c r="A20" s="24" t="s">
        <v>201</v>
      </c>
      <c r="B20" s="24" t="s">
        <v>685</v>
      </c>
      <c r="C20" s="24" t="s">
        <v>8</v>
      </c>
      <c r="D20" s="24" t="s">
        <v>85</v>
      </c>
      <c r="E20" s="24" t="s">
        <v>732</v>
      </c>
      <c r="F20" s="24" t="s">
        <v>733</v>
      </c>
      <c r="G20" s="24" t="s">
        <v>734</v>
      </c>
      <c r="H20" s="24" t="s">
        <v>689</v>
      </c>
    </row>
    <row r="21" customFormat="false" ht="15" hidden="false" customHeight="true" outlineLevel="0" collapsed="false">
      <c r="A21" s="23" t="s">
        <v>113</v>
      </c>
      <c r="B21" s="23" t="s">
        <v>685</v>
      </c>
      <c r="C21" s="23" t="s">
        <v>8</v>
      </c>
      <c r="D21" s="23" t="s">
        <v>61</v>
      </c>
      <c r="E21" s="23" t="s">
        <v>735</v>
      </c>
      <c r="F21" s="23" t="s">
        <v>736</v>
      </c>
      <c r="G21" s="23" t="s">
        <v>737</v>
      </c>
      <c r="H21" s="23" t="s">
        <v>689</v>
      </c>
    </row>
    <row r="22" customFormat="false" ht="15" hidden="false" customHeight="true" outlineLevel="0" collapsed="false">
      <c r="A22" s="24" t="s">
        <v>160</v>
      </c>
      <c r="B22" s="24" t="s">
        <v>685</v>
      </c>
      <c r="C22" s="24" t="s">
        <v>8</v>
      </c>
      <c r="D22" s="24" t="s">
        <v>61</v>
      </c>
      <c r="E22" s="24" t="s">
        <v>738</v>
      </c>
      <c r="F22" s="24" t="s">
        <v>739</v>
      </c>
      <c r="G22" s="24" t="s">
        <v>740</v>
      </c>
      <c r="H22" s="24" t="s">
        <v>689</v>
      </c>
    </row>
    <row r="23" customFormat="false" ht="15" hidden="false" customHeight="true" outlineLevel="0" collapsed="false">
      <c r="A23" s="23" t="s">
        <v>164</v>
      </c>
      <c r="B23" s="23" t="s">
        <v>685</v>
      </c>
      <c r="C23" s="23" t="s">
        <v>8</v>
      </c>
      <c r="D23" s="23" t="s">
        <v>61</v>
      </c>
      <c r="E23" s="23" t="s">
        <v>741</v>
      </c>
      <c r="F23" s="23" t="s">
        <v>742</v>
      </c>
      <c r="G23" s="23" t="s">
        <v>743</v>
      </c>
      <c r="H23" s="23" t="s">
        <v>689</v>
      </c>
    </row>
    <row r="24" customFormat="false" ht="15" hidden="false" customHeight="true" outlineLevel="0" collapsed="false">
      <c r="A24" s="24" t="s">
        <v>110</v>
      </c>
      <c r="B24" s="24" t="s">
        <v>685</v>
      </c>
      <c r="C24" s="24" t="s">
        <v>8</v>
      </c>
      <c r="D24" s="24" t="s">
        <v>61</v>
      </c>
      <c r="E24" s="24" t="s">
        <v>744</v>
      </c>
      <c r="F24" s="24" t="s">
        <v>745</v>
      </c>
      <c r="G24" s="24" t="s">
        <v>746</v>
      </c>
      <c r="H24" s="24" t="s">
        <v>689</v>
      </c>
    </row>
    <row r="25" customFormat="false" ht="15" hidden="false" customHeight="true" outlineLevel="0" collapsed="false">
      <c r="A25" s="23" t="s">
        <v>21</v>
      </c>
      <c r="B25" s="23" t="s">
        <v>685</v>
      </c>
      <c r="C25" s="23" t="s">
        <v>8</v>
      </c>
      <c r="D25" s="23" t="s">
        <v>61</v>
      </c>
      <c r="E25" s="23" t="s">
        <v>747</v>
      </c>
      <c r="F25" s="23" t="s">
        <v>748</v>
      </c>
      <c r="G25" s="23" t="s">
        <v>749</v>
      </c>
      <c r="H25" s="23" t="s">
        <v>689</v>
      </c>
    </row>
    <row r="26" customFormat="false" ht="15" hidden="false" customHeight="true" outlineLevel="0" collapsed="false">
      <c r="A26" s="24" t="s">
        <v>156</v>
      </c>
      <c r="B26" s="24" t="s">
        <v>685</v>
      </c>
      <c r="C26" s="24" t="s">
        <v>8</v>
      </c>
      <c r="D26" s="24" t="s">
        <v>750</v>
      </c>
      <c r="E26" s="24" t="s">
        <v>751</v>
      </c>
      <c r="F26" s="24" t="s">
        <v>752</v>
      </c>
      <c r="G26" s="24" t="s">
        <v>753</v>
      </c>
      <c r="H26" s="24" t="s">
        <v>689</v>
      </c>
    </row>
    <row r="27" customFormat="false" ht="15" hidden="false" customHeight="true" outlineLevel="0" collapsed="false">
      <c r="A27" s="23" t="s">
        <v>7</v>
      </c>
      <c r="B27" s="23" t="s">
        <v>685</v>
      </c>
      <c r="C27" s="23" t="s">
        <v>8</v>
      </c>
      <c r="D27" s="23" t="s">
        <v>51</v>
      </c>
      <c r="E27" s="23" t="s">
        <v>754</v>
      </c>
      <c r="F27" s="23" t="s">
        <v>755</v>
      </c>
      <c r="G27" s="23" t="s">
        <v>756</v>
      </c>
      <c r="H27" s="23" t="s">
        <v>689</v>
      </c>
    </row>
    <row r="28" customFormat="false" ht="15" hidden="false" customHeight="true" outlineLevel="0" collapsed="false">
      <c r="A28" s="24" t="s">
        <v>33</v>
      </c>
      <c r="B28" s="24" t="s">
        <v>685</v>
      </c>
      <c r="C28" s="24" t="s">
        <v>8</v>
      </c>
      <c r="D28" s="24" t="s">
        <v>51</v>
      </c>
      <c r="E28" s="24" t="s">
        <v>757</v>
      </c>
      <c r="F28" s="24" t="s">
        <v>758</v>
      </c>
      <c r="G28" s="24" t="s">
        <v>759</v>
      </c>
      <c r="H28" s="24" t="s">
        <v>689</v>
      </c>
    </row>
    <row r="29" customFormat="false" ht="15" hidden="false" customHeight="true" outlineLevel="0" collapsed="false">
      <c r="A29" s="23" t="s">
        <v>15</v>
      </c>
      <c r="B29" s="23" t="s">
        <v>685</v>
      </c>
      <c r="C29" s="23" t="s">
        <v>8</v>
      </c>
      <c r="D29" s="23" t="s">
        <v>51</v>
      </c>
      <c r="E29" s="23" t="s">
        <v>760</v>
      </c>
      <c r="F29" s="23" t="s">
        <v>761</v>
      </c>
      <c r="G29" s="23" t="s">
        <v>762</v>
      </c>
      <c r="H29" s="23" t="s">
        <v>689</v>
      </c>
    </row>
    <row r="30" customFormat="false" ht="15" hidden="false" customHeight="true" outlineLevel="0" collapsed="false">
      <c r="A30" s="24" t="s">
        <v>30</v>
      </c>
      <c r="B30" s="24" t="s">
        <v>685</v>
      </c>
      <c r="C30" s="24" t="s">
        <v>8</v>
      </c>
      <c r="D30" s="24" t="s">
        <v>51</v>
      </c>
      <c r="E30" s="24" t="s">
        <v>763</v>
      </c>
      <c r="F30" s="24" t="s">
        <v>764</v>
      </c>
      <c r="G30" s="24" t="s">
        <v>765</v>
      </c>
      <c r="H30" s="24" t="s">
        <v>689</v>
      </c>
    </row>
    <row r="31" customFormat="false" ht="15" hidden="false" customHeight="true" outlineLevel="0" collapsed="false">
      <c r="A31" s="23" t="s">
        <v>75</v>
      </c>
      <c r="B31" s="23" t="s">
        <v>685</v>
      </c>
      <c r="C31" s="23" t="s">
        <v>8</v>
      </c>
      <c r="D31" s="23" t="s">
        <v>51</v>
      </c>
      <c r="E31" s="23" t="s">
        <v>766</v>
      </c>
      <c r="F31" s="23" t="s">
        <v>767</v>
      </c>
      <c r="G31" s="23" t="s">
        <v>768</v>
      </c>
      <c r="H31" s="23" t="s">
        <v>689</v>
      </c>
    </row>
    <row r="32" customFormat="false" ht="15" hidden="false" customHeight="true" outlineLevel="0" collapsed="false">
      <c r="A32" s="24" t="s">
        <v>196</v>
      </c>
      <c r="B32" s="24" t="s">
        <v>685</v>
      </c>
      <c r="C32" s="24" t="s">
        <v>8</v>
      </c>
      <c r="D32" s="24" t="s">
        <v>91</v>
      </c>
      <c r="E32" s="24" t="s">
        <v>769</v>
      </c>
      <c r="F32" s="24" t="s">
        <v>770</v>
      </c>
      <c r="G32" s="24" t="s">
        <v>771</v>
      </c>
      <c r="H32" s="24" t="s">
        <v>689</v>
      </c>
    </row>
    <row r="33" customFormat="false" ht="15" hidden="false" customHeight="true" outlineLevel="0" collapsed="false">
      <c r="A33" s="23" t="s">
        <v>90</v>
      </c>
      <c r="B33" s="23" t="s">
        <v>685</v>
      </c>
      <c r="C33" s="23" t="s">
        <v>8</v>
      </c>
      <c r="D33" s="23" t="s">
        <v>91</v>
      </c>
      <c r="E33" s="23" t="s">
        <v>772</v>
      </c>
      <c r="F33" s="23" t="s">
        <v>773</v>
      </c>
      <c r="G33" s="23" t="s">
        <v>774</v>
      </c>
      <c r="H33" s="23" t="s">
        <v>689</v>
      </c>
    </row>
    <row r="34" customFormat="false" ht="15" hidden="false" customHeight="true" outlineLevel="0" collapsed="false">
      <c r="A34" s="24" t="s">
        <v>94</v>
      </c>
      <c r="B34" s="24" t="s">
        <v>685</v>
      </c>
      <c r="C34" s="24" t="s">
        <v>8</v>
      </c>
      <c r="D34" s="24" t="s">
        <v>91</v>
      </c>
      <c r="E34" s="24" t="s">
        <v>775</v>
      </c>
      <c r="F34" s="24" t="s">
        <v>776</v>
      </c>
      <c r="G34" s="24" t="s">
        <v>777</v>
      </c>
      <c r="H34" s="24" t="s">
        <v>689</v>
      </c>
    </row>
    <row r="35" customFormat="false" ht="15" hidden="false" customHeight="true" outlineLevel="0" collapsed="false">
      <c r="A35" s="23" t="s">
        <v>198</v>
      </c>
      <c r="B35" s="23" t="s">
        <v>685</v>
      </c>
      <c r="C35" s="23" t="s">
        <v>8</v>
      </c>
      <c r="D35" s="23" t="s">
        <v>91</v>
      </c>
      <c r="E35" s="23" t="s">
        <v>778</v>
      </c>
      <c r="F35" s="23" t="s">
        <v>779</v>
      </c>
      <c r="G35" s="23" t="s">
        <v>780</v>
      </c>
      <c r="H35" s="23" t="s">
        <v>689</v>
      </c>
    </row>
    <row r="36" customFormat="false" ht="15" hidden="false" customHeight="true" outlineLevel="0" collapsed="false">
      <c r="A36" s="24" t="s">
        <v>18</v>
      </c>
      <c r="B36" s="24" t="s">
        <v>685</v>
      </c>
      <c r="C36" s="24" t="s">
        <v>8</v>
      </c>
      <c r="D36" s="24" t="s">
        <v>54</v>
      </c>
      <c r="E36" s="24" t="s">
        <v>781</v>
      </c>
      <c r="F36" s="24" t="s">
        <v>782</v>
      </c>
      <c r="G36" s="24" t="s">
        <v>783</v>
      </c>
      <c r="H36" s="24" t="s">
        <v>689</v>
      </c>
    </row>
    <row r="37" customFormat="false" ht="15" hidden="false" customHeight="true" outlineLevel="0" collapsed="false">
      <c r="A37" s="23" t="s">
        <v>78</v>
      </c>
      <c r="B37" s="23" t="s">
        <v>685</v>
      </c>
      <c r="C37" s="23" t="s">
        <v>8</v>
      </c>
      <c r="D37" s="23" t="s">
        <v>54</v>
      </c>
      <c r="E37" s="23" t="s">
        <v>784</v>
      </c>
      <c r="F37" s="23" t="s">
        <v>785</v>
      </c>
      <c r="G37" s="23" t="s">
        <v>786</v>
      </c>
      <c r="H37" s="23" t="s">
        <v>689</v>
      </c>
    </row>
    <row r="38" customFormat="false" ht="15" hidden="false" customHeight="true" outlineLevel="0" collapsed="false">
      <c r="A38" s="24" t="s">
        <v>127</v>
      </c>
      <c r="B38" s="24" t="s">
        <v>685</v>
      </c>
      <c r="C38" s="24" t="s">
        <v>8</v>
      </c>
      <c r="D38" s="24" t="s">
        <v>54</v>
      </c>
      <c r="E38" s="24" t="s">
        <v>787</v>
      </c>
      <c r="F38" s="24" t="s">
        <v>788</v>
      </c>
      <c r="G38" s="24" t="s">
        <v>789</v>
      </c>
      <c r="H38" s="24" t="s">
        <v>689</v>
      </c>
    </row>
    <row r="39" customFormat="false" ht="15" hidden="false" customHeight="true" outlineLevel="0" collapsed="false">
      <c r="A39" s="23" t="s">
        <v>151</v>
      </c>
      <c r="B39" s="23" t="s">
        <v>685</v>
      </c>
      <c r="C39" s="23" t="s">
        <v>8</v>
      </c>
      <c r="D39" s="23" t="s">
        <v>54</v>
      </c>
      <c r="E39" s="23" t="s">
        <v>790</v>
      </c>
      <c r="F39" s="23" t="s">
        <v>791</v>
      </c>
      <c r="G39" s="23" t="s">
        <v>792</v>
      </c>
      <c r="H39" s="23" t="s">
        <v>689</v>
      </c>
    </row>
    <row r="40" customFormat="false" ht="15" hidden="false" customHeight="true" outlineLevel="0" collapsed="false">
      <c r="A40" s="24" t="s">
        <v>129</v>
      </c>
      <c r="B40" s="24" t="s">
        <v>685</v>
      </c>
      <c r="C40" s="24" t="s">
        <v>12</v>
      </c>
      <c r="D40" s="24" t="s">
        <v>121</v>
      </c>
      <c r="E40" s="24" t="s">
        <v>793</v>
      </c>
      <c r="F40" s="24" t="s">
        <v>794</v>
      </c>
      <c r="G40" s="24" t="s">
        <v>795</v>
      </c>
      <c r="H40" s="24" t="s">
        <v>689</v>
      </c>
    </row>
    <row r="41" customFormat="false" ht="15" hidden="false" customHeight="true" outlineLevel="0" collapsed="false">
      <c r="A41" s="23" t="s">
        <v>141</v>
      </c>
      <c r="B41" s="23" t="s">
        <v>685</v>
      </c>
      <c r="C41" s="23" t="s">
        <v>12</v>
      </c>
      <c r="D41" s="23" t="s">
        <v>121</v>
      </c>
      <c r="E41" s="23" t="s">
        <v>796</v>
      </c>
      <c r="F41" s="23" t="s">
        <v>797</v>
      </c>
      <c r="G41" s="23" t="s">
        <v>798</v>
      </c>
      <c r="H41" s="23" t="s">
        <v>689</v>
      </c>
    </row>
    <row r="42" customFormat="false" ht="15" hidden="false" customHeight="true" outlineLevel="0" collapsed="false">
      <c r="A42" s="24" t="s">
        <v>120</v>
      </c>
      <c r="B42" s="24" t="s">
        <v>685</v>
      </c>
      <c r="C42" s="24" t="s">
        <v>12</v>
      </c>
      <c r="D42" s="24" t="s">
        <v>121</v>
      </c>
      <c r="E42" s="24" t="s">
        <v>799</v>
      </c>
      <c r="F42" s="24" t="s">
        <v>800</v>
      </c>
      <c r="G42" s="24" t="s">
        <v>801</v>
      </c>
      <c r="H42" s="24" t="s">
        <v>689</v>
      </c>
    </row>
    <row r="43" customFormat="false" ht="15" hidden="false" customHeight="true" outlineLevel="0" collapsed="false">
      <c r="A43" s="23" t="s">
        <v>173</v>
      </c>
      <c r="B43" s="23" t="s">
        <v>685</v>
      </c>
      <c r="C43" s="23" t="s">
        <v>12</v>
      </c>
      <c r="D43" s="23" t="s">
        <v>121</v>
      </c>
      <c r="E43" s="23" t="s">
        <v>802</v>
      </c>
      <c r="F43" s="23" t="s">
        <v>803</v>
      </c>
      <c r="G43" s="23" t="s">
        <v>804</v>
      </c>
      <c r="H43" s="23" t="s">
        <v>689</v>
      </c>
    </row>
    <row r="44" customFormat="false" ht="15" hidden="false" customHeight="true" outlineLevel="0" collapsed="false">
      <c r="A44" s="24" t="s">
        <v>183</v>
      </c>
      <c r="B44" s="24" t="s">
        <v>685</v>
      </c>
      <c r="C44" s="24" t="s">
        <v>12</v>
      </c>
      <c r="D44" s="24" t="s">
        <v>121</v>
      </c>
      <c r="E44" s="24" t="s">
        <v>805</v>
      </c>
      <c r="F44" s="24" t="s">
        <v>806</v>
      </c>
      <c r="G44" s="24" t="s">
        <v>807</v>
      </c>
      <c r="H44" s="24" t="s">
        <v>689</v>
      </c>
    </row>
    <row r="45" customFormat="false" ht="15" hidden="false" customHeight="true" outlineLevel="0" collapsed="false">
      <c r="A45" s="23" t="s">
        <v>27</v>
      </c>
      <c r="B45" s="23" t="s">
        <v>685</v>
      </c>
      <c r="C45" s="23" t="s">
        <v>12</v>
      </c>
      <c r="D45" s="23" t="s">
        <v>64</v>
      </c>
      <c r="E45" s="23" t="s">
        <v>808</v>
      </c>
      <c r="F45" s="23" t="s">
        <v>809</v>
      </c>
      <c r="G45" s="23" t="s">
        <v>810</v>
      </c>
      <c r="H45" s="23" t="s">
        <v>689</v>
      </c>
    </row>
    <row r="46" customFormat="false" ht="15" hidden="false" customHeight="true" outlineLevel="0" collapsed="false">
      <c r="A46" s="24" t="s">
        <v>139</v>
      </c>
      <c r="B46" s="24" t="s">
        <v>685</v>
      </c>
      <c r="C46" s="24" t="s">
        <v>12</v>
      </c>
      <c r="D46" s="24" t="s">
        <v>64</v>
      </c>
      <c r="E46" s="24" t="s">
        <v>811</v>
      </c>
      <c r="F46" s="24" t="s">
        <v>812</v>
      </c>
      <c r="G46" s="24" t="s">
        <v>813</v>
      </c>
      <c r="H46" s="24" t="s">
        <v>689</v>
      </c>
    </row>
    <row r="47" customFormat="false" ht="15" hidden="false" customHeight="true" outlineLevel="0" collapsed="false">
      <c r="A47" s="23" t="s">
        <v>116</v>
      </c>
      <c r="B47" s="23" t="s">
        <v>685</v>
      </c>
      <c r="C47" s="23" t="s">
        <v>12</v>
      </c>
      <c r="D47" s="23" t="s">
        <v>64</v>
      </c>
      <c r="E47" s="23" t="s">
        <v>814</v>
      </c>
      <c r="F47" s="23" t="s">
        <v>815</v>
      </c>
      <c r="G47" s="23" t="s">
        <v>816</v>
      </c>
      <c r="H47" s="23" t="s">
        <v>689</v>
      </c>
    </row>
    <row r="48" customFormat="false" ht="15" hidden="false" customHeight="true" outlineLevel="0" collapsed="false">
      <c r="A48" s="24" t="s">
        <v>36</v>
      </c>
      <c r="B48" s="24" t="s">
        <v>685</v>
      </c>
      <c r="C48" s="24" t="s">
        <v>12</v>
      </c>
      <c r="D48" s="24" t="s">
        <v>64</v>
      </c>
      <c r="E48" s="24" t="s">
        <v>817</v>
      </c>
      <c r="F48" s="24" t="s">
        <v>818</v>
      </c>
      <c r="G48" s="24" t="s">
        <v>819</v>
      </c>
      <c r="H48" s="24" t="s">
        <v>689</v>
      </c>
    </row>
    <row r="49" customFormat="false" ht="15" hidden="false" customHeight="true" outlineLevel="0" collapsed="false">
      <c r="A49" s="23" t="s">
        <v>149</v>
      </c>
      <c r="B49" s="23" t="s">
        <v>685</v>
      </c>
      <c r="C49" s="23" t="s">
        <v>12</v>
      </c>
      <c r="D49" s="23" t="s">
        <v>64</v>
      </c>
      <c r="E49" s="23" t="s">
        <v>820</v>
      </c>
      <c r="F49" s="23" t="s">
        <v>821</v>
      </c>
      <c r="G49" s="23" t="s">
        <v>822</v>
      </c>
      <c r="H49" s="23" t="s">
        <v>689</v>
      </c>
    </row>
    <row r="50" customFormat="false" ht="15" hidden="false" customHeight="true" outlineLevel="0" collapsed="false">
      <c r="A50" s="24" t="s">
        <v>131</v>
      </c>
      <c r="B50" s="24" t="s">
        <v>685</v>
      </c>
      <c r="C50" s="24" t="s">
        <v>12</v>
      </c>
      <c r="D50" s="24" t="s">
        <v>85</v>
      </c>
      <c r="E50" s="24" t="s">
        <v>823</v>
      </c>
      <c r="F50" s="24" t="s">
        <v>824</v>
      </c>
      <c r="G50" s="24" t="s">
        <v>825</v>
      </c>
      <c r="H50" s="24" t="s">
        <v>689</v>
      </c>
    </row>
    <row r="51" customFormat="false" ht="15" hidden="false" customHeight="true" outlineLevel="0" collapsed="false">
      <c r="A51" s="23" t="s">
        <v>185</v>
      </c>
      <c r="B51" s="23" t="s">
        <v>685</v>
      </c>
      <c r="C51" s="23" t="s">
        <v>12</v>
      </c>
      <c r="D51" s="23" t="s">
        <v>85</v>
      </c>
      <c r="E51" s="23" t="s">
        <v>826</v>
      </c>
      <c r="F51" s="23" t="s">
        <v>827</v>
      </c>
      <c r="G51" s="23" t="s">
        <v>828</v>
      </c>
      <c r="H51" s="23" t="s">
        <v>689</v>
      </c>
    </row>
    <row r="52" customFormat="false" ht="15" hidden="false" customHeight="true" outlineLevel="0" collapsed="false">
      <c r="A52" s="24" t="s">
        <v>84</v>
      </c>
      <c r="B52" s="24" t="s">
        <v>685</v>
      </c>
      <c r="C52" s="24" t="s">
        <v>12</v>
      </c>
      <c r="D52" s="24" t="s">
        <v>85</v>
      </c>
      <c r="E52" s="24" t="s">
        <v>829</v>
      </c>
      <c r="F52" s="24" t="s">
        <v>830</v>
      </c>
      <c r="G52" s="24" t="s">
        <v>831</v>
      </c>
      <c r="H52" s="24" t="s">
        <v>689</v>
      </c>
    </row>
    <row r="53" customFormat="false" ht="15" hidden="false" customHeight="true" outlineLevel="0" collapsed="false">
      <c r="A53" s="23" t="s">
        <v>204</v>
      </c>
      <c r="B53" s="23" t="s">
        <v>685</v>
      </c>
      <c r="C53" s="23" t="s">
        <v>12</v>
      </c>
      <c r="D53" s="23" t="s">
        <v>85</v>
      </c>
      <c r="E53" s="23" t="s">
        <v>832</v>
      </c>
      <c r="F53" s="23" t="s">
        <v>833</v>
      </c>
      <c r="G53" s="23" t="s">
        <v>834</v>
      </c>
      <c r="H53" s="23" t="s">
        <v>689</v>
      </c>
    </row>
    <row r="54" customFormat="false" ht="15" hidden="false" customHeight="true" outlineLevel="0" collapsed="false">
      <c r="A54" s="24" t="s">
        <v>81</v>
      </c>
      <c r="B54" s="24" t="s">
        <v>685</v>
      </c>
      <c r="C54" s="24" t="s">
        <v>12</v>
      </c>
      <c r="D54" s="24" t="s">
        <v>61</v>
      </c>
      <c r="E54" s="24" t="s">
        <v>835</v>
      </c>
      <c r="F54" s="24" t="s">
        <v>836</v>
      </c>
      <c r="G54" s="24" t="s">
        <v>837</v>
      </c>
      <c r="H54" s="24" t="s">
        <v>689</v>
      </c>
    </row>
    <row r="55" customFormat="false" ht="15" hidden="false" customHeight="true" outlineLevel="0" collapsed="false">
      <c r="A55" s="23" t="s">
        <v>143</v>
      </c>
      <c r="B55" s="23" t="s">
        <v>685</v>
      </c>
      <c r="C55" s="23" t="s">
        <v>12</v>
      </c>
      <c r="D55" s="23" t="s">
        <v>61</v>
      </c>
      <c r="E55" s="23" t="s">
        <v>838</v>
      </c>
      <c r="F55" s="23" t="s">
        <v>839</v>
      </c>
      <c r="G55" s="23" t="s">
        <v>840</v>
      </c>
      <c r="H55" s="23" t="s">
        <v>689</v>
      </c>
    </row>
    <row r="56" customFormat="false" ht="15" hidden="false" customHeight="true" outlineLevel="0" collapsed="false">
      <c r="A56" s="24" t="s">
        <v>118</v>
      </c>
      <c r="B56" s="24" t="s">
        <v>685</v>
      </c>
      <c r="C56" s="24" t="s">
        <v>12</v>
      </c>
      <c r="D56" s="24" t="s">
        <v>61</v>
      </c>
      <c r="E56" s="24" t="s">
        <v>841</v>
      </c>
      <c r="F56" s="24" t="s">
        <v>842</v>
      </c>
      <c r="G56" s="24" t="s">
        <v>843</v>
      </c>
      <c r="H56" s="24" t="s">
        <v>689</v>
      </c>
    </row>
    <row r="57" customFormat="false" ht="15" hidden="false" customHeight="true" outlineLevel="0" collapsed="false">
      <c r="A57" s="23" t="s">
        <v>187</v>
      </c>
      <c r="B57" s="23" t="s">
        <v>685</v>
      </c>
      <c r="C57" s="23" t="s">
        <v>12</v>
      </c>
      <c r="D57" s="23" t="s">
        <v>61</v>
      </c>
      <c r="E57" s="23" t="s">
        <v>844</v>
      </c>
      <c r="F57" s="23" t="s">
        <v>845</v>
      </c>
      <c r="G57" s="23" t="s">
        <v>846</v>
      </c>
      <c r="H57" s="23" t="s">
        <v>689</v>
      </c>
    </row>
    <row r="58" customFormat="false" ht="15" hidden="false" customHeight="true" outlineLevel="0" collapsed="false">
      <c r="A58" s="24" t="s">
        <v>101</v>
      </c>
      <c r="B58" s="24" t="s">
        <v>685</v>
      </c>
      <c r="C58" s="24" t="s">
        <v>12</v>
      </c>
      <c r="D58" s="24" t="s">
        <v>61</v>
      </c>
      <c r="E58" s="24" t="s">
        <v>847</v>
      </c>
      <c r="F58" s="24" t="s">
        <v>848</v>
      </c>
      <c r="G58" s="24" t="s">
        <v>849</v>
      </c>
      <c r="H58" s="24" t="s">
        <v>689</v>
      </c>
    </row>
    <row r="59" customFormat="false" ht="15" hidden="false" customHeight="true" outlineLevel="0" collapsed="false">
      <c r="A59" s="23" t="s">
        <v>189</v>
      </c>
      <c r="B59" s="23" t="s">
        <v>685</v>
      </c>
      <c r="C59" s="23" t="s">
        <v>12</v>
      </c>
      <c r="D59" s="23" t="s">
        <v>850</v>
      </c>
      <c r="E59" s="23" t="s">
        <v>851</v>
      </c>
      <c r="F59" s="23" t="s">
        <v>852</v>
      </c>
      <c r="G59" s="23" t="s">
        <v>853</v>
      </c>
      <c r="H59" s="23" t="s">
        <v>689</v>
      </c>
    </row>
    <row r="60" customFormat="false" ht="15" hidden="false" customHeight="true" outlineLevel="0" collapsed="false">
      <c r="A60" s="24" t="s">
        <v>147</v>
      </c>
      <c r="B60" s="24" t="s">
        <v>685</v>
      </c>
      <c r="C60" s="24" t="s">
        <v>12</v>
      </c>
      <c r="D60" s="24" t="s">
        <v>51</v>
      </c>
      <c r="E60" s="24" t="s">
        <v>854</v>
      </c>
      <c r="F60" s="24" t="s">
        <v>855</v>
      </c>
      <c r="G60" s="24" t="s">
        <v>856</v>
      </c>
      <c r="H60" s="24" t="s">
        <v>689</v>
      </c>
    </row>
    <row r="61" customFormat="false" ht="15" hidden="false" customHeight="true" outlineLevel="0" collapsed="false">
      <c r="A61" s="23" t="s">
        <v>107</v>
      </c>
      <c r="B61" s="23" t="s">
        <v>685</v>
      </c>
      <c r="C61" s="23" t="s">
        <v>12</v>
      </c>
      <c r="D61" s="23" t="s">
        <v>51</v>
      </c>
      <c r="E61" s="23" t="s">
        <v>857</v>
      </c>
      <c r="F61" s="23" t="s">
        <v>858</v>
      </c>
      <c r="G61" s="23" t="s">
        <v>859</v>
      </c>
      <c r="H61" s="23" t="s">
        <v>689</v>
      </c>
    </row>
    <row r="62" customFormat="false" ht="15" hidden="false" customHeight="true" outlineLevel="0" collapsed="false">
      <c r="A62" s="24" t="s">
        <v>181</v>
      </c>
      <c r="B62" s="24" t="s">
        <v>685</v>
      </c>
      <c r="C62" s="24" t="s">
        <v>12</v>
      </c>
      <c r="D62" s="24" t="s">
        <v>51</v>
      </c>
      <c r="E62" s="24" t="s">
        <v>860</v>
      </c>
      <c r="F62" s="24" t="s">
        <v>861</v>
      </c>
      <c r="G62" s="24" t="s">
        <v>862</v>
      </c>
      <c r="H62" s="24" t="s">
        <v>689</v>
      </c>
    </row>
    <row r="63" customFormat="false" ht="15" hidden="false" customHeight="true" outlineLevel="0" collapsed="false">
      <c r="A63" s="23" t="s">
        <v>206</v>
      </c>
      <c r="B63" s="23" t="s">
        <v>685</v>
      </c>
      <c r="C63" s="23" t="s">
        <v>12</v>
      </c>
      <c r="D63" s="23" t="s">
        <v>51</v>
      </c>
      <c r="E63" s="23" t="s">
        <v>863</v>
      </c>
      <c r="F63" s="23" t="s">
        <v>864</v>
      </c>
      <c r="G63" s="23" t="s">
        <v>865</v>
      </c>
      <c r="H63" s="23" t="s">
        <v>689</v>
      </c>
    </row>
    <row r="64" customFormat="false" ht="15" hidden="false" customHeight="true" outlineLevel="0" collapsed="false">
      <c r="A64" s="24" t="s">
        <v>162</v>
      </c>
      <c r="B64" s="24" t="s">
        <v>685</v>
      </c>
      <c r="C64" s="24" t="s">
        <v>12</v>
      </c>
      <c r="D64" s="24" t="s">
        <v>91</v>
      </c>
      <c r="E64" s="24" t="s">
        <v>866</v>
      </c>
      <c r="F64" s="24" t="s">
        <v>867</v>
      </c>
      <c r="G64" s="24" t="s">
        <v>868</v>
      </c>
      <c r="H64" s="24" t="s">
        <v>689</v>
      </c>
    </row>
    <row r="65" customFormat="false" ht="21.75" hidden="false" customHeight="true" outlineLevel="0" collapsed="false">
      <c r="A65" s="4" t="s">
        <v>175</v>
      </c>
      <c r="B65" s="4" t="s">
        <v>685</v>
      </c>
      <c r="C65" s="4" t="s">
        <v>12</v>
      </c>
      <c r="D65" s="4" t="s">
        <v>91</v>
      </c>
      <c r="E65" s="4" t="s">
        <v>869</v>
      </c>
      <c r="F65" s="4" t="s">
        <v>870</v>
      </c>
      <c r="G65" s="4" t="s">
        <v>871</v>
      </c>
      <c r="H65" s="4" t="s">
        <v>689</v>
      </c>
    </row>
    <row r="66" customFormat="false" ht="21.75" hidden="false" customHeight="true" outlineLevel="0" collapsed="false">
      <c r="A66" s="25" t="s">
        <v>192</v>
      </c>
      <c r="B66" s="25" t="s">
        <v>685</v>
      </c>
      <c r="C66" s="25" t="s">
        <v>12</v>
      </c>
      <c r="D66" s="25" t="s">
        <v>91</v>
      </c>
      <c r="E66" s="25" t="s">
        <v>872</v>
      </c>
      <c r="F66" s="25" t="s">
        <v>873</v>
      </c>
      <c r="G66" s="25" t="s">
        <v>874</v>
      </c>
      <c r="H66" s="25" t="s">
        <v>689</v>
      </c>
    </row>
    <row r="67" customFormat="false" ht="21.75" hidden="false" customHeight="true" outlineLevel="0" collapsed="false">
      <c r="A67" s="4" t="s">
        <v>208</v>
      </c>
      <c r="B67" s="4" t="s">
        <v>685</v>
      </c>
      <c r="C67" s="4" t="s">
        <v>12</v>
      </c>
      <c r="D67" s="4" t="s">
        <v>91</v>
      </c>
      <c r="E67" s="4" t="s">
        <v>875</v>
      </c>
      <c r="F67" s="4" t="s">
        <v>876</v>
      </c>
      <c r="G67" s="4" t="s">
        <v>877</v>
      </c>
      <c r="H67" s="4" t="s">
        <v>689</v>
      </c>
    </row>
    <row r="68" customFormat="false" ht="21.75" hidden="false" customHeight="true" outlineLevel="0" collapsed="false">
      <c r="A68" s="25" t="s">
        <v>104</v>
      </c>
      <c r="B68" s="25" t="s">
        <v>685</v>
      </c>
      <c r="C68" s="25" t="s">
        <v>12</v>
      </c>
      <c r="D68" s="25" t="s">
        <v>54</v>
      </c>
      <c r="E68" s="25" t="s">
        <v>878</v>
      </c>
      <c r="F68" s="25" t="s">
        <v>879</v>
      </c>
      <c r="G68" s="25" t="s">
        <v>880</v>
      </c>
      <c r="H68" s="25" t="s">
        <v>689</v>
      </c>
    </row>
    <row r="69" customFormat="false" ht="21.75" hidden="false" customHeight="true" outlineLevel="0" collapsed="false">
      <c r="A69" s="4" t="s">
        <v>123</v>
      </c>
      <c r="B69" s="4" t="s">
        <v>685</v>
      </c>
      <c r="C69" s="4" t="s">
        <v>12</v>
      </c>
      <c r="D69" s="4" t="s">
        <v>54</v>
      </c>
      <c r="E69" s="4" t="s">
        <v>881</v>
      </c>
      <c r="F69" s="4" t="s">
        <v>882</v>
      </c>
      <c r="G69" s="4" t="s">
        <v>883</v>
      </c>
      <c r="H69" s="4" t="s">
        <v>689</v>
      </c>
    </row>
    <row r="70" customFormat="false" ht="32.25" hidden="false" customHeight="true" outlineLevel="0" collapsed="false">
      <c r="A70" s="25" t="s">
        <v>11</v>
      </c>
      <c r="B70" s="25" t="s">
        <v>685</v>
      </c>
      <c r="C70" s="25" t="s">
        <v>12</v>
      </c>
      <c r="D70" s="25" t="s">
        <v>54</v>
      </c>
      <c r="E70" s="25" t="s">
        <v>884</v>
      </c>
      <c r="F70" s="25" t="s">
        <v>885</v>
      </c>
      <c r="G70" s="25" t="s">
        <v>886</v>
      </c>
      <c r="H70" s="25" t="s">
        <v>689</v>
      </c>
    </row>
    <row r="71" customFormat="false" ht="21.75" hidden="false" customHeight="true" outlineLevel="0" collapsed="false">
      <c r="A71" s="4" t="s">
        <v>125</v>
      </c>
      <c r="B71" s="4" t="s">
        <v>685</v>
      </c>
      <c r="C71" s="4" t="s">
        <v>12</v>
      </c>
      <c r="D71" s="4" t="s">
        <v>54</v>
      </c>
      <c r="E71" s="4" t="s">
        <v>887</v>
      </c>
      <c r="F71" s="4" t="s">
        <v>888</v>
      </c>
      <c r="G71" s="4" t="s">
        <v>889</v>
      </c>
      <c r="H71" s="4" t="s">
        <v>689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H5:H64" type="list">
      <formula1>"Pool,In triage,Survived → scored,Parked,Killed"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16"/>
    <col collapsed="false" customWidth="true" hidden="false" outlineLevel="0" max="2" min="2" style="15" width="11"/>
    <col collapsed="false" customWidth="true" hidden="false" outlineLevel="0" max="3" min="3" style="15" width="46"/>
    <col collapsed="false" customWidth="true" hidden="false" outlineLevel="0" max="4" min="4" style="15" width="9"/>
    <col collapsed="false" customWidth="true" hidden="false" outlineLevel="0" max="5" min="5" style="15" width="8"/>
    <col collapsed="false" customWidth="true" hidden="false" outlineLevel="0" max="6" min="6" style="15" width="9"/>
    <col collapsed="false" customWidth="true" hidden="false" outlineLevel="0" max="8" min="7" style="15" width="10"/>
    <col collapsed="false" customWidth="true" hidden="false" outlineLevel="0" max="9" min="9" style="15" width="9"/>
    <col collapsed="false" customWidth="true" hidden="false" outlineLevel="0" max="10" min="10" style="15" width="8"/>
    <col collapsed="false" customWidth="true" hidden="false" outlineLevel="0" max="11" min="11" style="15" width="9"/>
    <col collapsed="false" customWidth="true" hidden="false" outlineLevel="0" max="12" min="12" style="15" width="8"/>
    <col collapsed="false" customWidth="true" hidden="false" outlineLevel="0" max="14" min="13" style="15" width="9"/>
    <col collapsed="false" customWidth="true" hidden="false" outlineLevel="0" max="15" min="15" style="15" width="24"/>
  </cols>
  <sheetData>
    <row r="1" customFormat="false" ht="17.25" hidden="false" customHeight="true" outlineLevel="0" collapsed="false">
      <c r="A1" s="20" t="s">
        <v>890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customFormat="false" ht="15" hidden="false" customHeight="true" outlineLevel="0" collapsed="false">
      <c r="A2" s="21" t="s">
        <v>891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customFormat="false" ht="15" hidden="false" customHeight="true" outlineLevel="0" collapsed="false">
      <c r="C3" s="26" t="s">
        <v>892</v>
      </c>
      <c r="D3" s="27" t="n">
        <v>20</v>
      </c>
      <c r="E3" s="27" t="n">
        <v>15</v>
      </c>
      <c r="F3" s="27" t="n">
        <v>15</v>
      </c>
      <c r="G3" s="27" t="n">
        <v>12</v>
      </c>
      <c r="H3" s="27" t="n">
        <v>12</v>
      </c>
      <c r="I3" s="27" t="n">
        <v>10</v>
      </c>
      <c r="J3" s="27" t="n">
        <v>8</v>
      </c>
      <c r="K3" s="27" t="n">
        <v>8</v>
      </c>
    </row>
    <row r="4" customFormat="false" ht="39.75" hidden="false" customHeight="true" outlineLevel="0" collapsed="false">
      <c r="A4" s="22" t="s">
        <v>893</v>
      </c>
      <c r="B4" s="22" t="s">
        <v>894</v>
      </c>
      <c r="C4" s="22" t="s">
        <v>895</v>
      </c>
      <c r="D4" s="22" t="s">
        <v>896</v>
      </c>
      <c r="E4" s="22" t="s">
        <v>897</v>
      </c>
      <c r="F4" s="22" t="s">
        <v>898</v>
      </c>
      <c r="G4" s="22" t="s">
        <v>899</v>
      </c>
      <c r="H4" s="22" t="s">
        <v>900</v>
      </c>
      <c r="I4" s="22" t="s">
        <v>901</v>
      </c>
      <c r="J4" s="22" t="s">
        <v>902</v>
      </c>
      <c r="K4" s="22" t="s">
        <v>903</v>
      </c>
      <c r="L4" s="22" t="s">
        <v>904</v>
      </c>
      <c r="M4" s="22" t="s">
        <v>905</v>
      </c>
      <c r="N4" s="22" t="s">
        <v>684</v>
      </c>
      <c r="O4" s="22" t="s">
        <v>906</v>
      </c>
    </row>
    <row r="5" customFormat="false" ht="15" hidden="false" customHeight="true" outlineLevel="0" collapsed="false">
      <c r="A5" s="28" t="s">
        <v>907</v>
      </c>
      <c r="B5" s="29" t="s">
        <v>908</v>
      </c>
      <c r="C5" s="28" t="s">
        <v>909</v>
      </c>
      <c r="D5" s="29" t="n">
        <v>4</v>
      </c>
      <c r="E5" s="29" t="n">
        <v>5</v>
      </c>
      <c r="F5" s="29" t="n">
        <v>4</v>
      </c>
      <c r="G5" s="29" t="n">
        <v>3</v>
      </c>
      <c r="H5" s="29" t="n">
        <v>4</v>
      </c>
      <c r="I5" s="29" t="n">
        <v>3</v>
      </c>
      <c r="J5" s="29" t="n">
        <v>4</v>
      </c>
      <c r="K5" s="29" t="n">
        <v>5</v>
      </c>
      <c r="L5" s="30" t="n">
        <f aca="false">IF(COUNT(D5:K5)=8,SUMPRODUCT(D5:K5,$D$3:$K$3)/5,"")</f>
        <v>80.2</v>
      </c>
      <c r="M5" s="29" t="s">
        <v>910</v>
      </c>
      <c r="N5" s="29" t="s">
        <v>911</v>
      </c>
      <c r="O5" s="28" t="s">
        <v>912</v>
      </c>
    </row>
    <row r="6" customFormat="false" ht="15" hidden="false" customHeight="true" outlineLevel="0" collapsed="false">
      <c r="A6" s="31"/>
      <c r="B6" s="32"/>
      <c r="C6" s="31"/>
      <c r="D6" s="32"/>
      <c r="E6" s="32"/>
      <c r="F6" s="32"/>
      <c r="G6" s="32"/>
      <c r="H6" s="32"/>
      <c r="I6" s="32"/>
      <c r="J6" s="32"/>
      <c r="K6" s="32"/>
      <c r="L6" s="33" t="str">
        <f aca="false">IF(COUNT(D6:K6)=8,SUMPRODUCT(D6:K6,$D$3:$K$3)/5,"")</f>
        <v/>
      </c>
      <c r="M6" s="32"/>
      <c r="N6" s="32"/>
      <c r="O6" s="31"/>
    </row>
    <row r="7" customFormat="false" ht="15" hidden="false" customHeight="true" outlineLevel="0" collapsed="false">
      <c r="A7" s="34"/>
      <c r="B7" s="35"/>
      <c r="C7" s="34"/>
      <c r="D7" s="35"/>
      <c r="E7" s="35"/>
      <c r="F7" s="35"/>
      <c r="G7" s="35"/>
      <c r="H7" s="35"/>
      <c r="I7" s="35"/>
      <c r="J7" s="35"/>
      <c r="K7" s="35"/>
      <c r="L7" s="36" t="str">
        <f aca="false">IF(COUNT(D7:K7)=8,SUMPRODUCT(D7:K7,$D$3:$K$3)/5,"")</f>
        <v/>
      </c>
      <c r="M7" s="35"/>
      <c r="N7" s="35"/>
      <c r="O7" s="34"/>
    </row>
    <row r="8" customFormat="false" ht="15" hidden="false" customHeight="true" outlineLevel="0" collapsed="false">
      <c r="A8" s="31"/>
      <c r="B8" s="32"/>
      <c r="C8" s="31"/>
      <c r="D8" s="32"/>
      <c r="E8" s="32"/>
      <c r="F8" s="32"/>
      <c r="G8" s="32"/>
      <c r="H8" s="32"/>
      <c r="I8" s="32"/>
      <c r="J8" s="32"/>
      <c r="K8" s="32"/>
      <c r="L8" s="33" t="str">
        <f aca="false">IF(COUNT(D8:K8)=8,SUMPRODUCT(D8:K8,$D$3:$K$3)/5,"")</f>
        <v/>
      </c>
      <c r="M8" s="32"/>
      <c r="N8" s="32"/>
      <c r="O8" s="31"/>
    </row>
    <row r="9" customFormat="false" ht="15" hidden="false" customHeight="true" outlineLevel="0" collapsed="false">
      <c r="A9" s="34"/>
      <c r="B9" s="35"/>
      <c r="C9" s="34"/>
      <c r="D9" s="35"/>
      <c r="E9" s="35"/>
      <c r="F9" s="35"/>
      <c r="G9" s="35"/>
      <c r="H9" s="35"/>
      <c r="I9" s="35"/>
      <c r="J9" s="35"/>
      <c r="K9" s="35"/>
      <c r="L9" s="36" t="str">
        <f aca="false">IF(COUNT(D9:K9)=8,SUMPRODUCT(D9:K9,$D$3:$K$3)/5,"")</f>
        <v/>
      </c>
      <c r="M9" s="35"/>
      <c r="N9" s="35"/>
      <c r="O9" s="34"/>
    </row>
    <row r="10" customFormat="false" ht="15" hidden="false" customHeight="true" outlineLevel="0" collapsed="false">
      <c r="A10" s="31"/>
      <c r="B10" s="32"/>
      <c r="C10" s="31"/>
      <c r="D10" s="32"/>
      <c r="E10" s="32"/>
      <c r="F10" s="32"/>
      <c r="G10" s="32"/>
      <c r="H10" s="32"/>
      <c r="I10" s="32"/>
      <c r="J10" s="32"/>
      <c r="K10" s="32"/>
      <c r="L10" s="33" t="str">
        <f aca="false">IF(COUNT(D10:K10)=8,SUMPRODUCT(D10:K10,$D$3:$K$3)/5,"")</f>
        <v/>
      </c>
      <c r="M10" s="32"/>
      <c r="N10" s="32"/>
      <c r="O10" s="31"/>
    </row>
    <row r="11" customFormat="false" ht="15" hidden="false" customHeight="true" outlineLevel="0" collapsed="false">
      <c r="A11" s="34"/>
      <c r="B11" s="35"/>
      <c r="C11" s="34"/>
      <c r="D11" s="35"/>
      <c r="E11" s="35"/>
      <c r="F11" s="35"/>
      <c r="G11" s="35"/>
      <c r="H11" s="35"/>
      <c r="I11" s="35"/>
      <c r="J11" s="35"/>
      <c r="K11" s="35"/>
      <c r="L11" s="36" t="str">
        <f aca="false">IF(COUNT(D11:K11)=8,SUMPRODUCT(D11:K11,$D$3:$K$3)/5,"")</f>
        <v/>
      </c>
      <c r="M11" s="35"/>
      <c r="N11" s="35"/>
      <c r="O11" s="34"/>
    </row>
    <row r="12" customFormat="false" ht="15" hidden="false" customHeight="true" outlineLevel="0" collapsed="false">
      <c r="A12" s="31"/>
      <c r="B12" s="32"/>
      <c r="C12" s="31"/>
      <c r="D12" s="32"/>
      <c r="E12" s="32"/>
      <c r="F12" s="32"/>
      <c r="G12" s="32"/>
      <c r="H12" s="32"/>
      <c r="I12" s="32"/>
      <c r="J12" s="32"/>
      <c r="K12" s="32"/>
      <c r="L12" s="33" t="str">
        <f aca="false">IF(COUNT(D12:K12)=8,SUMPRODUCT(D12:K12,$D$3:$K$3)/5,"")</f>
        <v/>
      </c>
      <c r="M12" s="32"/>
      <c r="N12" s="32"/>
      <c r="O12" s="31"/>
    </row>
    <row r="13" customFormat="false" ht="15" hidden="false" customHeight="true" outlineLevel="0" collapsed="false">
      <c r="A13" s="34"/>
      <c r="B13" s="35"/>
      <c r="C13" s="34"/>
      <c r="D13" s="35"/>
      <c r="E13" s="35"/>
      <c r="F13" s="35"/>
      <c r="G13" s="35"/>
      <c r="H13" s="35"/>
      <c r="I13" s="35"/>
      <c r="J13" s="35"/>
      <c r="K13" s="35"/>
      <c r="L13" s="36" t="str">
        <f aca="false">IF(COUNT(D13:K13)=8,SUMPRODUCT(D13:K13,$D$3:$K$3)/5,"")</f>
        <v/>
      </c>
      <c r="M13" s="35"/>
      <c r="N13" s="35"/>
      <c r="O13" s="34"/>
    </row>
    <row r="14" customFormat="false" ht="15" hidden="false" customHeight="true" outlineLevel="0" collapsed="false">
      <c r="A14" s="31"/>
      <c r="B14" s="32"/>
      <c r="C14" s="31"/>
      <c r="D14" s="32"/>
      <c r="E14" s="32"/>
      <c r="F14" s="32"/>
      <c r="G14" s="32"/>
      <c r="H14" s="32"/>
      <c r="I14" s="32"/>
      <c r="J14" s="32"/>
      <c r="K14" s="32"/>
      <c r="L14" s="33" t="str">
        <f aca="false">IF(COUNT(D14:K14)=8,SUMPRODUCT(D14:K14,$D$3:$K$3)/5,"")</f>
        <v/>
      </c>
      <c r="M14" s="32"/>
      <c r="N14" s="32"/>
      <c r="O14" s="31"/>
    </row>
    <row r="15" customFormat="false" ht="15" hidden="false" customHeight="true" outlineLevel="0" collapsed="false">
      <c r="A15" s="34"/>
      <c r="B15" s="35"/>
      <c r="C15" s="34"/>
      <c r="D15" s="35"/>
      <c r="E15" s="35"/>
      <c r="F15" s="35"/>
      <c r="G15" s="35"/>
      <c r="H15" s="35"/>
      <c r="I15" s="35"/>
      <c r="J15" s="35"/>
      <c r="K15" s="35"/>
      <c r="L15" s="36" t="str">
        <f aca="false">IF(COUNT(D15:K15)=8,SUMPRODUCT(D15:K15,$D$3:$K$3)/5,"")</f>
        <v/>
      </c>
      <c r="M15" s="35"/>
      <c r="N15" s="35"/>
      <c r="O15" s="34"/>
    </row>
    <row r="16" customFormat="false" ht="15" hidden="false" customHeight="true" outlineLevel="0" collapsed="false">
      <c r="A16" s="31"/>
      <c r="B16" s="32"/>
      <c r="C16" s="31"/>
      <c r="D16" s="32"/>
      <c r="E16" s="32"/>
      <c r="F16" s="32"/>
      <c r="G16" s="32"/>
      <c r="H16" s="32"/>
      <c r="I16" s="32"/>
      <c r="J16" s="32"/>
      <c r="K16" s="32"/>
      <c r="L16" s="33" t="str">
        <f aca="false">IF(COUNT(D16:K16)=8,SUMPRODUCT(D16:K16,$D$3:$K$3)/5,"")</f>
        <v/>
      </c>
      <c r="M16" s="32"/>
      <c r="N16" s="32"/>
      <c r="O16" s="31"/>
    </row>
    <row r="17" customFormat="false" ht="15" hidden="false" customHeight="true" outlineLevel="0" collapsed="false">
      <c r="A17" s="34"/>
      <c r="B17" s="35"/>
      <c r="C17" s="34"/>
      <c r="D17" s="35"/>
      <c r="E17" s="35"/>
      <c r="F17" s="35"/>
      <c r="G17" s="35"/>
      <c r="H17" s="35"/>
      <c r="I17" s="35"/>
      <c r="J17" s="35"/>
      <c r="K17" s="35"/>
      <c r="L17" s="36" t="str">
        <f aca="false">IF(COUNT(D17:K17)=8,SUMPRODUCT(D17:K17,$D$3:$K$3)/5,"")</f>
        <v/>
      </c>
      <c r="M17" s="35"/>
      <c r="N17" s="35"/>
      <c r="O17" s="34"/>
    </row>
    <row r="18" customFormat="false" ht="15" hidden="false" customHeight="true" outlineLevel="0" collapsed="false">
      <c r="A18" s="31"/>
      <c r="B18" s="32"/>
      <c r="C18" s="31"/>
      <c r="D18" s="32"/>
      <c r="E18" s="32"/>
      <c r="F18" s="32"/>
      <c r="G18" s="32"/>
      <c r="H18" s="32"/>
      <c r="I18" s="32"/>
      <c r="J18" s="32"/>
      <c r="K18" s="32"/>
      <c r="L18" s="33" t="str">
        <f aca="false">IF(COUNT(D18:K18)=8,SUMPRODUCT(D18:K18,$D$3:$K$3)/5,"")</f>
        <v/>
      </c>
      <c r="M18" s="32"/>
      <c r="N18" s="32"/>
      <c r="O18" s="31"/>
    </row>
    <row r="19" customFormat="false" ht="15" hidden="false" customHeight="true" outlineLevel="0" collapsed="false">
      <c r="A19" s="34"/>
      <c r="B19" s="35"/>
      <c r="C19" s="34"/>
      <c r="D19" s="35"/>
      <c r="E19" s="35"/>
      <c r="F19" s="35"/>
      <c r="G19" s="35"/>
      <c r="H19" s="35"/>
      <c r="I19" s="35"/>
      <c r="J19" s="35"/>
      <c r="K19" s="35"/>
      <c r="L19" s="36" t="str">
        <f aca="false">IF(COUNT(D19:K19)=8,SUMPRODUCT(D19:K19,$D$3:$K$3)/5,"")</f>
        <v/>
      </c>
      <c r="M19" s="35"/>
      <c r="N19" s="35"/>
      <c r="O19" s="34"/>
    </row>
    <row r="20" customFormat="false" ht="15" hidden="false" customHeight="true" outlineLevel="0" collapsed="false">
      <c r="A20" s="31"/>
      <c r="B20" s="32"/>
      <c r="C20" s="31"/>
      <c r="D20" s="32"/>
      <c r="E20" s="32"/>
      <c r="F20" s="32"/>
      <c r="G20" s="32"/>
      <c r="H20" s="32"/>
      <c r="I20" s="32"/>
      <c r="J20" s="32"/>
      <c r="K20" s="32"/>
      <c r="L20" s="33" t="str">
        <f aca="false">IF(COUNT(D20:K20)=8,SUMPRODUCT(D20:K20,$D$3:$K$3)/5,"")</f>
        <v/>
      </c>
      <c r="M20" s="32"/>
      <c r="N20" s="32"/>
      <c r="O20" s="31"/>
    </row>
    <row r="21" customFormat="false" ht="15" hidden="false" customHeight="true" outlineLevel="0" collapsed="false">
      <c r="A21" s="34"/>
      <c r="B21" s="35"/>
      <c r="C21" s="34"/>
      <c r="D21" s="35"/>
      <c r="E21" s="35"/>
      <c r="F21" s="35"/>
      <c r="G21" s="35"/>
      <c r="H21" s="35"/>
      <c r="I21" s="35"/>
      <c r="J21" s="35"/>
      <c r="K21" s="35"/>
      <c r="L21" s="36" t="str">
        <f aca="false">IF(COUNT(D21:K21)=8,SUMPRODUCT(D21:K21,$D$3:$K$3)/5,"")</f>
        <v/>
      </c>
      <c r="M21" s="35"/>
      <c r="N21" s="35"/>
      <c r="O21" s="34"/>
    </row>
    <row r="22" customFormat="false" ht="15" hidden="false" customHeight="true" outlineLevel="0" collapsed="false">
      <c r="A22" s="31"/>
      <c r="B22" s="32"/>
      <c r="C22" s="31"/>
      <c r="D22" s="32"/>
      <c r="E22" s="32"/>
      <c r="F22" s="32"/>
      <c r="G22" s="32"/>
      <c r="H22" s="32"/>
      <c r="I22" s="32"/>
      <c r="J22" s="32"/>
      <c r="K22" s="32"/>
      <c r="L22" s="33" t="str">
        <f aca="false">IF(COUNT(D22:K22)=8,SUMPRODUCT(D22:K22,$D$3:$K$3)/5,"")</f>
        <v/>
      </c>
      <c r="M22" s="32"/>
      <c r="N22" s="32"/>
      <c r="O22" s="31"/>
    </row>
    <row r="23" customFormat="false" ht="15" hidden="false" customHeight="true" outlineLevel="0" collapsed="false">
      <c r="A23" s="34"/>
      <c r="B23" s="35"/>
      <c r="C23" s="34"/>
      <c r="D23" s="35"/>
      <c r="E23" s="35"/>
      <c r="F23" s="35"/>
      <c r="G23" s="35"/>
      <c r="H23" s="35"/>
      <c r="I23" s="35"/>
      <c r="J23" s="35"/>
      <c r="K23" s="35"/>
      <c r="L23" s="36" t="str">
        <f aca="false">IF(COUNT(D23:K23)=8,SUMPRODUCT(D23:K23,$D$3:$K$3)/5,"")</f>
        <v/>
      </c>
      <c r="M23" s="35"/>
      <c r="N23" s="35"/>
      <c r="O23" s="34"/>
    </row>
    <row r="24" customFormat="false" ht="15" hidden="false" customHeight="true" outlineLevel="0" collapsed="false">
      <c r="A24" s="31"/>
      <c r="B24" s="32"/>
      <c r="C24" s="31"/>
      <c r="D24" s="32"/>
      <c r="E24" s="32"/>
      <c r="F24" s="32"/>
      <c r="G24" s="32"/>
      <c r="H24" s="32"/>
      <c r="I24" s="32"/>
      <c r="J24" s="32"/>
      <c r="K24" s="32"/>
      <c r="L24" s="33" t="str">
        <f aca="false">IF(COUNT(D24:K24)=8,SUMPRODUCT(D24:K24,$D$3:$K$3)/5,"")</f>
        <v/>
      </c>
      <c r="M24" s="32"/>
      <c r="N24" s="32"/>
      <c r="O24" s="31"/>
    </row>
    <row r="25" customFormat="false" ht="15" hidden="false" customHeight="true" outlineLevel="0" collapsed="false">
      <c r="A25" s="34"/>
      <c r="B25" s="35"/>
      <c r="C25" s="34"/>
      <c r="D25" s="35"/>
      <c r="E25" s="35"/>
      <c r="F25" s="35"/>
      <c r="G25" s="35"/>
      <c r="H25" s="35"/>
      <c r="I25" s="35"/>
      <c r="J25" s="35"/>
      <c r="K25" s="35"/>
      <c r="L25" s="36" t="str">
        <f aca="false">IF(COUNT(D25:K25)=8,SUMPRODUCT(D25:K25,$D$3:$K$3)/5,"")</f>
        <v/>
      </c>
      <c r="M25" s="35"/>
      <c r="N25" s="35"/>
      <c r="O25" s="34"/>
    </row>
    <row r="26" customFormat="false" ht="15" hidden="false" customHeight="true" outlineLevel="0" collapsed="false">
      <c r="A26" s="31"/>
      <c r="B26" s="32"/>
      <c r="C26" s="31"/>
      <c r="D26" s="32"/>
      <c r="E26" s="32"/>
      <c r="F26" s="32"/>
      <c r="G26" s="32"/>
      <c r="H26" s="32"/>
      <c r="I26" s="32"/>
      <c r="J26" s="32"/>
      <c r="K26" s="32"/>
      <c r="L26" s="33" t="str">
        <f aca="false">IF(COUNT(D26:K26)=8,SUMPRODUCT(D26:K26,$D$3:$K$3)/5,"")</f>
        <v/>
      </c>
      <c r="M26" s="32"/>
      <c r="N26" s="32"/>
      <c r="O26" s="31"/>
    </row>
    <row r="27" customFormat="false" ht="15" hidden="false" customHeight="true" outlineLevel="0" collapsed="false">
      <c r="A27" s="34"/>
      <c r="B27" s="35"/>
      <c r="C27" s="34"/>
      <c r="D27" s="35"/>
      <c r="E27" s="35"/>
      <c r="F27" s="35"/>
      <c r="G27" s="35"/>
      <c r="H27" s="35"/>
      <c r="I27" s="35"/>
      <c r="J27" s="35"/>
      <c r="K27" s="35"/>
      <c r="L27" s="36" t="str">
        <f aca="false">IF(COUNT(D27:K27)=8,SUMPRODUCT(D27:K27,$D$3:$K$3)/5,"")</f>
        <v/>
      </c>
      <c r="M27" s="35"/>
      <c r="N27" s="35"/>
      <c r="O27" s="34"/>
    </row>
    <row r="28" customFormat="false" ht="15" hidden="false" customHeight="true" outlineLevel="0" collapsed="false">
      <c r="A28" s="31"/>
      <c r="B28" s="32"/>
      <c r="C28" s="31"/>
      <c r="D28" s="32"/>
      <c r="E28" s="32"/>
      <c r="F28" s="32"/>
      <c r="G28" s="32"/>
      <c r="H28" s="32"/>
      <c r="I28" s="32"/>
      <c r="J28" s="32"/>
      <c r="K28" s="32"/>
      <c r="L28" s="33" t="str">
        <f aca="false">IF(COUNT(D28:K28)=8,SUMPRODUCT(D28:K28,$D$3:$K$3)/5,"")</f>
        <v/>
      </c>
      <c r="M28" s="32"/>
      <c r="N28" s="32"/>
      <c r="O28" s="31"/>
    </row>
  </sheetData>
  <mergeCells count="2">
    <mergeCell ref="A1:O1"/>
    <mergeCell ref="A2:O2"/>
  </mergeCells>
  <conditionalFormatting sqref="L5:L28">
    <cfRule type="colorScale" priority="2">
      <colorScale>
        <cfvo type="num" val="40"/>
        <cfvo type="num" val="70"/>
        <cfvo type="num" val="100"/>
        <color rgb="FFF8696B"/>
        <color rgb="FFFFEB84"/>
        <color rgb="FF63BE7B"/>
      </colorScale>
    </cfRule>
  </conditionalFormatting>
  <dataValidations count="3">
    <dataValidation allowBlank="true" errorStyle="stop" operator="between" showDropDown="false" showErrorMessage="false" showInputMessage="false" sqref="D5:K28" type="whole">
      <formula1>1</formula1>
      <formula2>5</formula2>
    </dataValidation>
    <dataValidation allowBlank="true" errorStyle="stop" operator="between" showDropDown="false" showErrorMessage="false" showInputMessage="false" sqref="N5:N28" type="list">
      <formula1>"Promote,Park,Kill"</formula1>
      <formula2>0</formula2>
    </dataValidation>
    <dataValidation allowBlank="true" errorStyle="stop" operator="between" showDropDown="false" showErrorMessage="false" showInputMessage="false" sqref="M5:M28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5"/>
    <col collapsed="false" customWidth="true" hidden="false" outlineLevel="0" max="2" min="2" style="15" width="42"/>
    <col collapsed="false" customWidth="true" hidden="false" outlineLevel="0" max="3" min="3" style="15" width="9"/>
    <col collapsed="false" customWidth="true" hidden="false" outlineLevel="0" max="4" min="4" style="15" width="60"/>
  </cols>
  <sheetData>
    <row r="1" customFormat="false" ht="17.25" hidden="false" customHeight="true" outlineLevel="0" collapsed="false">
      <c r="A1" s="37" t="s">
        <v>913</v>
      </c>
      <c r="B1" s="37"/>
      <c r="C1" s="37"/>
      <c r="D1" s="37"/>
    </row>
    <row r="3" customFormat="false" ht="15" hidden="false" customHeight="true" outlineLevel="0" collapsed="false">
      <c r="A3" s="38" t="s">
        <v>914</v>
      </c>
      <c r="B3" s="38" t="s">
        <v>915</v>
      </c>
      <c r="C3" s="38" t="s">
        <v>916</v>
      </c>
      <c r="D3" s="38" t="s">
        <v>917</v>
      </c>
    </row>
    <row r="4" customFormat="false" ht="15" hidden="false" customHeight="true" outlineLevel="0" collapsed="false">
      <c r="A4" s="39" t="n">
        <v>1</v>
      </c>
      <c r="B4" s="34" t="s">
        <v>918</v>
      </c>
      <c r="C4" s="40" t="n">
        <v>0.05</v>
      </c>
      <c r="D4" s="34" t="s">
        <v>919</v>
      </c>
    </row>
    <row r="5" customFormat="false" ht="23.25" hidden="false" customHeight="true" outlineLevel="0" collapsed="false">
      <c r="A5" s="41" t="n">
        <v>2</v>
      </c>
      <c r="B5" s="31" t="s">
        <v>920</v>
      </c>
      <c r="C5" s="42" t="n">
        <v>0.15</v>
      </c>
      <c r="D5" s="31" t="s">
        <v>921</v>
      </c>
    </row>
    <row r="6" customFormat="false" ht="15" hidden="false" customHeight="true" outlineLevel="0" collapsed="false">
      <c r="A6" s="39" t="n">
        <v>3</v>
      </c>
      <c r="B6" s="34" t="s">
        <v>922</v>
      </c>
      <c r="C6" s="40" t="n">
        <v>0.2</v>
      </c>
      <c r="D6" s="34" t="s">
        <v>923</v>
      </c>
    </row>
    <row r="7" customFormat="false" ht="15" hidden="false" customHeight="true" outlineLevel="0" collapsed="false">
      <c r="A7" s="41" t="n">
        <v>4</v>
      </c>
      <c r="B7" s="31" t="s">
        <v>924</v>
      </c>
      <c r="C7" s="42" t="n">
        <v>0.15</v>
      </c>
      <c r="D7" s="31" t="s">
        <v>925</v>
      </c>
    </row>
    <row r="8" customFormat="false" ht="23.25" hidden="false" customHeight="true" outlineLevel="0" collapsed="false">
      <c r="A8" s="39" t="n">
        <v>5</v>
      </c>
      <c r="B8" s="34" t="s">
        <v>926</v>
      </c>
      <c r="C8" s="40" t="n">
        <v>0.15</v>
      </c>
      <c r="D8" s="34" t="s">
        <v>927</v>
      </c>
    </row>
    <row r="9" customFormat="false" ht="15" hidden="false" customHeight="true" outlineLevel="0" collapsed="false">
      <c r="A9" s="41" t="n">
        <v>6</v>
      </c>
      <c r="B9" s="31" t="s">
        <v>928</v>
      </c>
      <c r="C9" s="42" t="n">
        <v>0.1</v>
      </c>
      <c r="D9" s="31" t="s">
        <v>929</v>
      </c>
    </row>
    <row r="10" customFormat="false" ht="15" hidden="false" customHeight="true" outlineLevel="0" collapsed="false">
      <c r="A10" s="39" t="n">
        <v>7</v>
      </c>
      <c r="B10" s="34" t="s">
        <v>930</v>
      </c>
      <c r="C10" s="40" t="n">
        <v>0.12</v>
      </c>
      <c r="D10" s="34" t="s">
        <v>931</v>
      </c>
    </row>
    <row r="11" customFormat="false" ht="15" hidden="false" customHeight="true" outlineLevel="0" collapsed="false">
      <c r="A11" s="41" t="n">
        <v>8</v>
      </c>
      <c r="B11" s="31" t="s">
        <v>932</v>
      </c>
      <c r="C11" s="42" t="n">
        <v>0.08</v>
      </c>
      <c r="D11" s="31" t="s">
        <v>933</v>
      </c>
    </row>
    <row r="12" customFormat="false" ht="15" hidden="false" customHeight="true" outlineLevel="0" collapsed="false">
      <c r="B12" s="26" t="s">
        <v>934</v>
      </c>
      <c r="C12" s="43" t="n">
        <f aca="false">SUM(C4:C11)</f>
        <v>1</v>
      </c>
    </row>
    <row r="14" customFormat="false" ht="15" hidden="false" customHeight="true" outlineLevel="0" collapsed="false">
      <c r="A14" s="21" t="s">
        <v>935</v>
      </c>
      <c r="B14" s="21"/>
      <c r="C14" s="21"/>
      <c r="D14" s="21"/>
    </row>
    <row r="15" customFormat="false" ht="27.75" hidden="false" customHeight="true" outlineLevel="0" collapsed="false">
      <c r="A15" s="21" t="s">
        <v>936</v>
      </c>
      <c r="B15" s="21"/>
      <c r="C15" s="21"/>
      <c r="D15" s="21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2026-06-26T23:03:58Z</dcterms:created>
  <dc:creator>openpyxl</dc:creator>
  <dc:description/>
  <dc:language>en-US</dc:language>
  <cp:lastModifiedBy/>
  <dcterms:modified xsi:type="dcterms:W3CDTF">2026-07-19T18:37:59Z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